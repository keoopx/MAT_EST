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window7\Desktop\"/>
    </mc:Choice>
  </mc:AlternateContent>
  <bookViews>
    <workbookView xWindow="0" yWindow="0" windowWidth="20490" windowHeight="7755"/>
  </bookViews>
  <sheets>
    <sheet name="NUEVOS 2019 " sheetId="1" r:id="rId1"/>
    <sheet name="Hoja2" sheetId="2" r:id="rId2"/>
    <sheet name="ANEXO 6A 2019- I" sheetId="5" r:id="rId3"/>
    <sheet name="ANEXO 6A 2019- II" sheetId="8" r:id="rId4"/>
    <sheet name="COD DANES" sheetId="4" state="hidden" r:id="rId5"/>
    <sheet name="cod mun" sheetId="7" state="hidden" r:id="rId6"/>
    <sheet name="Hoja3" sheetId="3" state="hidden" r:id="rId7"/>
  </sheets>
  <definedNames>
    <definedName name="_xlnm._FilterDatabase" localSheetId="2" hidden="1">'ANEXO 6A 2019- I'!$F$5:$F$10</definedName>
    <definedName name="_xlnm._FilterDatabase" localSheetId="3" hidden="1">'ANEXO 6A 2019- II'!$F$5:$F$10</definedName>
    <definedName name="_xlnm._FilterDatabase" localSheetId="5" hidden="1">'cod mun'!$A$1:$D$1111</definedName>
    <definedName name="_xlnm._FilterDatabase" localSheetId="1" hidden="1">Hoja2!$A$1:$AT$22</definedName>
    <definedName name="AMAZONAS">'cod mun'!$C$1077:$C$1087</definedName>
    <definedName name="ANTIOQUIA">'cod mun'!$C$2:$C$126</definedName>
    <definedName name="ARAUCA">'cod mun'!$C$1036:$C$1042</definedName>
    <definedName name="_xlnm.Print_Area" localSheetId="2">'ANEXO 6A 2019- I'!$A$1:$T$34</definedName>
    <definedName name="_xlnm.Print_Area" localSheetId="3">'ANEXO 6A 2019- II'!$A$1:$X$33</definedName>
    <definedName name="_xlnm.Print_Area" localSheetId="0">'NUEVOS 2019 '!$A$1:$AE$57</definedName>
    <definedName name="ATLANTICO">'cod mun'!$C$127:$C$149</definedName>
    <definedName name="BOGOTA">'cod mun'!$C$1112:$C$1132</definedName>
    <definedName name="BOLIVAR">'cod mun'!$C$150:$C$194</definedName>
    <definedName name="BOYACA">'cod mun'!$C$195:$C$317</definedName>
    <definedName name="CALDAS">'cod mun'!$C$318:$C$344</definedName>
    <definedName name="CAQUETA">'cod mun'!$C$345:$C$360</definedName>
    <definedName name="CASANARE">'cod mun'!$C$1043:$C$1061</definedName>
    <definedName name="CAUCA">'cod mun'!$C$361:$C$400</definedName>
    <definedName name="CESAR">'cod mun'!$C$401:$C$425</definedName>
    <definedName name="CHOCO">'cod mun'!$C$571:$C$596</definedName>
    <definedName name="CORDOBA">'cod mun'!$C$426:$C$453</definedName>
    <definedName name="CUNDINAMARCA">'cod mun'!$C$454:$C$570</definedName>
    <definedName name="Departamento">'cod mun'!$G$1:$G$34</definedName>
    <definedName name="GUAINIA">'cod mun'!$C$1088:$C$1095</definedName>
    <definedName name="GUAVIARE">'cod mun'!$C$1096:$C$1099</definedName>
    <definedName name="HUILA">'cod mun'!$C$597:$C$633</definedName>
    <definedName name="LA_GUAJIRA">'cod mun'!$C$634:$C$647</definedName>
    <definedName name="MAGDALENA">'cod mun'!$C$648:$C$677</definedName>
    <definedName name="META">'cod mun'!$C$678:$C$706</definedName>
    <definedName name="NARIÑO">'cod mun'!$C$707:$C$769</definedName>
    <definedName name="NORTE_DE_SANTANDER">'cod mun'!$C$770:$C$809</definedName>
    <definedName name="PUTUMAYO">'cod mun'!$C$1062:$C$1074</definedName>
    <definedName name="QUINDIO">'cod mun'!$C$810:$C$821</definedName>
    <definedName name="RISARALDA">'cod mun'!$C$822:$C$835</definedName>
    <definedName name="SAN_ANDRES">'cod mun'!$C$1075:$C$1076</definedName>
    <definedName name="SANTANDER">'cod mun'!$C$836:$C$922</definedName>
    <definedName name="sedes">Hoja3!$F$24:$F$217</definedName>
    <definedName name="SUCRE">'cod mun'!$C$923:$C$946</definedName>
    <definedName name="TOLIMA">'cod mun'!$C$947:$C$993</definedName>
    <definedName name="VALLE_DEL_CAUCA">'cod mun'!$C$994:$C$1035</definedName>
    <definedName name="VAUPES">'cod mun'!$C$1100:$C$1105</definedName>
    <definedName name="VICHADA">'cod mun'!$C$1106:$C$1111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4" i="3" l="1"/>
  <c r="AE24" i="3"/>
  <c r="AC24" i="3"/>
  <c r="AB24" i="3"/>
  <c r="AA24" i="3"/>
  <c r="Y24" i="3"/>
  <c r="X24" i="3"/>
  <c r="W24" i="3"/>
  <c r="V24" i="3"/>
  <c r="U24" i="3"/>
  <c r="R24" i="3"/>
  <c r="Q24" i="3"/>
  <c r="P24" i="3"/>
  <c r="O24" i="3"/>
  <c r="N24" i="3"/>
  <c r="M24" i="3"/>
  <c r="L24" i="3"/>
  <c r="K24" i="3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E5" i="8"/>
  <c r="D5" i="8"/>
  <c r="C5" i="8"/>
  <c r="B5" i="8"/>
  <c r="A5" i="8"/>
  <c r="T5" i="5" l="1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B5" i="5"/>
  <c r="A5" i="5"/>
  <c r="A6" i="5" l="1"/>
  <c r="B6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AT2" i="2" l="1"/>
  <c r="AT4" i="2"/>
  <c r="AT5" i="2"/>
  <c r="AT6" i="2"/>
  <c r="AT7" i="2"/>
  <c r="AT8" i="2"/>
  <c r="AT9" i="2"/>
  <c r="AT10" i="2"/>
  <c r="AT11" i="2"/>
  <c r="AT12" i="2"/>
  <c r="AT13" i="2"/>
  <c r="AT14" i="2"/>
  <c r="AT15" i="2"/>
  <c r="AT16" i="2"/>
  <c r="AT17" i="2"/>
  <c r="AT18" i="2"/>
  <c r="AT19" i="2"/>
  <c r="AT20" i="2"/>
  <c r="AT21" i="2"/>
  <c r="AT22" i="2"/>
  <c r="D11" i="5" l="1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AG20" i="1" l="1"/>
  <c r="AT3" i="2"/>
  <c r="A7" i="8" l="1"/>
  <c r="B7" i="8"/>
  <c r="C7" i="8"/>
  <c r="D7" i="8"/>
  <c r="E7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A8" i="8"/>
  <c r="B8" i="8"/>
  <c r="C8" i="8"/>
  <c r="D8" i="8"/>
  <c r="E8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A9" i="8"/>
  <c r="B9" i="8"/>
  <c r="C9" i="8"/>
  <c r="D9" i="8"/>
  <c r="E9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A10" i="8"/>
  <c r="B10" i="8"/>
  <c r="C10" i="8"/>
  <c r="D10" i="8"/>
  <c r="E10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A11" i="8"/>
  <c r="B11" i="8"/>
  <c r="C11" i="8"/>
  <c r="D11" i="8"/>
  <c r="E11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A12" i="8"/>
  <c r="B12" i="8"/>
  <c r="C12" i="8"/>
  <c r="D12" i="8"/>
  <c r="E12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A13" i="8"/>
  <c r="B13" i="8"/>
  <c r="C13" i="8"/>
  <c r="D13" i="8"/>
  <c r="E13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A14" i="8"/>
  <c r="B14" i="8"/>
  <c r="C14" i="8"/>
  <c r="D14" i="8"/>
  <c r="E14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A15" i="8"/>
  <c r="B15" i="8"/>
  <c r="C15" i="8"/>
  <c r="D15" i="8"/>
  <c r="E15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A16" i="8"/>
  <c r="B16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A17" i="8"/>
  <c r="B17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A18" i="8"/>
  <c r="B18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A19" i="8"/>
  <c r="B19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A20" i="8"/>
  <c r="B20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A21" i="8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A22" i="8"/>
  <c r="B22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A23" i="8"/>
  <c r="B23" i="8"/>
  <c r="C23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A24" i="8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A7" i="5"/>
  <c r="B7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A8" i="5"/>
  <c r="B8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A9" i="5"/>
  <c r="B9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A10" i="5"/>
  <c r="B10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A11" i="5"/>
  <c r="B11" i="5"/>
  <c r="C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A12" i="5"/>
  <c r="B12" i="5"/>
  <c r="C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A13" i="5"/>
  <c r="B13" i="5"/>
  <c r="C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A14" i="5"/>
  <c r="B14" i="5"/>
  <c r="C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A15" i="5"/>
  <c r="B15" i="5"/>
  <c r="C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A16" i="5"/>
  <c r="B16" i="5"/>
  <c r="C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A17" i="5"/>
  <c r="B17" i="5"/>
  <c r="C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A18" i="5"/>
  <c r="B18" i="5"/>
  <c r="C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A19" i="5"/>
  <c r="B19" i="5"/>
  <c r="C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A20" i="5"/>
  <c r="B20" i="5"/>
  <c r="C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A21" i="5"/>
  <c r="B21" i="5"/>
  <c r="C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A22" i="5"/>
  <c r="B22" i="5"/>
  <c r="C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A23" i="5"/>
  <c r="B23" i="5"/>
  <c r="C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A24" i="5"/>
  <c r="B24" i="5"/>
  <c r="C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AD24" i="3" l="1"/>
  <c r="S24" i="3" l="1"/>
  <c r="T24" i="3"/>
  <c r="Z24" i="3" l="1"/>
  <c r="G24" i="3" l="1"/>
  <c r="H24" i="3" s="1"/>
  <c r="D24" i="3" l="1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81" i="3"/>
  <c r="D82" i="3"/>
  <c r="D79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80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5" i="3"/>
  <c r="E153" i="3" l="1"/>
  <c r="F153" i="3" s="1"/>
  <c r="E26" i="3"/>
  <c r="F26" i="3" s="1"/>
  <c r="E30" i="3"/>
  <c r="F30" i="3" s="1"/>
  <c r="E34" i="3"/>
  <c r="F34" i="3" s="1"/>
  <c r="E38" i="3"/>
  <c r="F38" i="3" s="1"/>
  <c r="E42" i="3"/>
  <c r="F42" i="3" s="1"/>
  <c r="E46" i="3"/>
  <c r="F46" i="3" s="1"/>
  <c r="E50" i="3"/>
  <c r="F50" i="3" s="1"/>
  <c r="E54" i="3"/>
  <c r="F54" i="3" s="1"/>
  <c r="E58" i="3"/>
  <c r="F58" i="3" s="1"/>
  <c r="E62" i="3"/>
  <c r="F62" i="3" s="1"/>
  <c r="E66" i="3"/>
  <c r="F66" i="3" s="1"/>
  <c r="E70" i="3"/>
  <c r="F70" i="3" s="1"/>
  <c r="E74" i="3"/>
  <c r="F74" i="3" s="1"/>
  <c r="E78" i="3"/>
  <c r="F78" i="3" s="1"/>
  <c r="E83" i="3"/>
  <c r="F83" i="3" s="1"/>
  <c r="E87" i="3"/>
  <c r="F87" i="3" s="1"/>
  <c r="E91" i="3"/>
  <c r="F91" i="3" s="1"/>
  <c r="E95" i="3"/>
  <c r="F95" i="3" s="1"/>
  <c r="E98" i="3"/>
  <c r="F98" i="3" s="1"/>
  <c r="E102" i="3"/>
  <c r="F102" i="3" s="1"/>
  <c r="E106" i="3"/>
  <c r="F106" i="3" s="1"/>
  <c r="E110" i="3"/>
  <c r="F110" i="3" s="1"/>
  <c r="E114" i="3"/>
  <c r="F114" i="3" s="1"/>
  <c r="E118" i="3"/>
  <c r="F118" i="3" s="1"/>
  <c r="E122" i="3"/>
  <c r="F122" i="3" s="1"/>
  <c r="E126" i="3"/>
  <c r="F126" i="3" s="1"/>
  <c r="E130" i="3"/>
  <c r="F130" i="3" s="1"/>
  <c r="E134" i="3"/>
  <c r="F134" i="3" s="1"/>
  <c r="E138" i="3"/>
  <c r="F138" i="3" s="1"/>
  <c r="E142" i="3"/>
  <c r="F142" i="3" s="1"/>
  <c r="E146" i="3"/>
  <c r="F146" i="3" s="1"/>
  <c r="E150" i="3"/>
  <c r="F150" i="3" s="1"/>
  <c r="E154" i="3"/>
  <c r="F154" i="3" s="1"/>
  <c r="E158" i="3"/>
  <c r="F158" i="3" s="1"/>
  <c r="E162" i="3"/>
  <c r="F162" i="3" s="1"/>
  <c r="E166" i="3"/>
  <c r="F166" i="3" s="1"/>
  <c r="E27" i="3"/>
  <c r="F27" i="3" s="1"/>
  <c r="E32" i="3"/>
  <c r="F32" i="3" s="1"/>
  <c r="E37" i="3"/>
  <c r="F37" i="3" s="1"/>
  <c r="E43" i="3"/>
  <c r="F43" i="3" s="1"/>
  <c r="E48" i="3"/>
  <c r="F48" i="3" s="1"/>
  <c r="E53" i="3"/>
  <c r="F53" i="3" s="1"/>
  <c r="E59" i="3"/>
  <c r="F59" i="3" s="1"/>
  <c r="E64" i="3"/>
  <c r="F64" i="3" s="1"/>
  <c r="E69" i="3"/>
  <c r="F69" i="3" s="1"/>
  <c r="E75" i="3"/>
  <c r="F75" i="3" s="1"/>
  <c r="E82" i="3"/>
  <c r="F82" i="3" s="1"/>
  <c r="E86" i="3"/>
  <c r="F86" i="3" s="1"/>
  <c r="E92" i="3"/>
  <c r="F92" i="3" s="1"/>
  <c r="E80" i="3"/>
  <c r="F80" i="3" s="1"/>
  <c r="E101" i="3"/>
  <c r="F101" i="3" s="1"/>
  <c r="E107" i="3"/>
  <c r="F107" i="3" s="1"/>
  <c r="E112" i="3"/>
  <c r="F112" i="3" s="1"/>
  <c r="E117" i="3"/>
  <c r="F117" i="3" s="1"/>
  <c r="E123" i="3"/>
  <c r="F123" i="3" s="1"/>
  <c r="E128" i="3"/>
  <c r="F128" i="3" s="1"/>
  <c r="E133" i="3"/>
  <c r="F133" i="3" s="1"/>
  <c r="E139" i="3"/>
  <c r="F139" i="3" s="1"/>
  <c r="E144" i="3"/>
  <c r="F144" i="3" s="1"/>
  <c r="E149" i="3"/>
  <c r="F149" i="3" s="1"/>
  <c r="E155" i="3"/>
  <c r="F155" i="3" s="1"/>
  <c r="E160" i="3"/>
  <c r="F160" i="3" s="1"/>
  <c r="E165" i="3"/>
  <c r="F165" i="3" s="1"/>
  <c r="E170" i="3"/>
  <c r="F170" i="3" s="1"/>
  <c r="E174" i="3"/>
  <c r="F174" i="3" s="1"/>
  <c r="E178" i="3"/>
  <c r="F178" i="3" s="1"/>
  <c r="E182" i="3"/>
  <c r="F182" i="3" s="1"/>
  <c r="E186" i="3"/>
  <c r="F186" i="3" s="1"/>
  <c r="E190" i="3"/>
  <c r="F190" i="3" s="1"/>
  <c r="E194" i="3"/>
  <c r="F194" i="3" s="1"/>
  <c r="E198" i="3"/>
  <c r="F198" i="3" s="1"/>
  <c r="E202" i="3"/>
  <c r="F202" i="3" s="1"/>
  <c r="E206" i="3"/>
  <c r="F206" i="3" s="1"/>
  <c r="E210" i="3"/>
  <c r="F210" i="3" s="1"/>
  <c r="E214" i="3"/>
  <c r="F214" i="3" s="1"/>
  <c r="E28" i="3"/>
  <c r="F28" i="3" s="1"/>
  <c r="E39" i="3"/>
  <c r="F39" i="3" s="1"/>
  <c r="E55" i="3"/>
  <c r="F55" i="3" s="1"/>
  <c r="E65" i="3"/>
  <c r="F65" i="3" s="1"/>
  <c r="E79" i="3"/>
  <c r="F79" i="3" s="1"/>
  <c r="E97" i="3"/>
  <c r="F97" i="3" s="1"/>
  <c r="E108" i="3"/>
  <c r="F108" i="3" s="1"/>
  <c r="E119" i="3"/>
  <c r="F119" i="3" s="1"/>
  <c r="E135" i="3"/>
  <c r="F135" i="3" s="1"/>
  <c r="E145" i="3"/>
  <c r="F145" i="3" s="1"/>
  <c r="E156" i="3"/>
  <c r="F156" i="3" s="1"/>
  <c r="E171" i="3"/>
  <c r="F171" i="3" s="1"/>
  <c r="E183" i="3"/>
  <c r="F183" i="3" s="1"/>
  <c r="E191" i="3"/>
  <c r="F191" i="3" s="1"/>
  <c r="E199" i="3"/>
  <c r="F199" i="3" s="1"/>
  <c r="E211" i="3"/>
  <c r="F211" i="3" s="1"/>
  <c r="E24" i="3"/>
  <c r="F24" i="3" s="1"/>
  <c r="E29" i="3"/>
  <c r="F29" i="3" s="1"/>
  <c r="E35" i="3"/>
  <c r="F35" i="3" s="1"/>
  <c r="E40" i="3"/>
  <c r="F40" i="3" s="1"/>
  <c r="E45" i="3"/>
  <c r="F45" i="3" s="1"/>
  <c r="E51" i="3"/>
  <c r="F51" i="3" s="1"/>
  <c r="E56" i="3"/>
  <c r="F56" i="3" s="1"/>
  <c r="E61" i="3"/>
  <c r="F61" i="3" s="1"/>
  <c r="E67" i="3"/>
  <c r="F67" i="3" s="1"/>
  <c r="E72" i="3"/>
  <c r="F72" i="3" s="1"/>
  <c r="E77" i="3"/>
  <c r="F77" i="3" s="1"/>
  <c r="E84" i="3"/>
  <c r="F84" i="3" s="1"/>
  <c r="E89" i="3"/>
  <c r="F89" i="3" s="1"/>
  <c r="E94" i="3"/>
  <c r="F94" i="3" s="1"/>
  <c r="E99" i="3"/>
  <c r="F99" i="3" s="1"/>
  <c r="E104" i="3"/>
  <c r="F104" i="3" s="1"/>
  <c r="E109" i="3"/>
  <c r="F109" i="3" s="1"/>
  <c r="E115" i="3"/>
  <c r="F115" i="3" s="1"/>
  <c r="E120" i="3"/>
  <c r="F120" i="3" s="1"/>
  <c r="E125" i="3"/>
  <c r="F125" i="3" s="1"/>
  <c r="E131" i="3"/>
  <c r="F131" i="3" s="1"/>
  <c r="E136" i="3"/>
  <c r="F136" i="3" s="1"/>
  <c r="E141" i="3"/>
  <c r="F141" i="3" s="1"/>
  <c r="E147" i="3"/>
  <c r="F147" i="3" s="1"/>
  <c r="E152" i="3"/>
  <c r="F152" i="3" s="1"/>
  <c r="E157" i="3"/>
  <c r="F157" i="3" s="1"/>
  <c r="E163" i="3"/>
  <c r="F163" i="3" s="1"/>
  <c r="E168" i="3"/>
  <c r="F168" i="3" s="1"/>
  <c r="E172" i="3"/>
  <c r="F172" i="3" s="1"/>
  <c r="E176" i="3"/>
  <c r="F176" i="3" s="1"/>
  <c r="E180" i="3"/>
  <c r="F180" i="3" s="1"/>
  <c r="E184" i="3"/>
  <c r="F184" i="3" s="1"/>
  <c r="E188" i="3"/>
  <c r="F188" i="3" s="1"/>
  <c r="E192" i="3"/>
  <c r="F192" i="3" s="1"/>
  <c r="E196" i="3"/>
  <c r="F196" i="3" s="1"/>
  <c r="E200" i="3"/>
  <c r="F200" i="3" s="1"/>
  <c r="E204" i="3"/>
  <c r="F204" i="3" s="1"/>
  <c r="E208" i="3"/>
  <c r="F208" i="3" s="1"/>
  <c r="E212" i="3"/>
  <c r="F212" i="3" s="1"/>
  <c r="E216" i="3"/>
  <c r="F216" i="3" s="1"/>
  <c r="E213" i="3"/>
  <c r="F213" i="3" s="1"/>
  <c r="E44" i="3"/>
  <c r="F44" i="3" s="1"/>
  <c r="E60" i="3"/>
  <c r="F60" i="3" s="1"/>
  <c r="E76" i="3"/>
  <c r="F76" i="3" s="1"/>
  <c r="E93" i="3"/>
  <c r="F93" i="3" s="1"/>
  <c r="E103" i="3"/>
  <c r="F103" i="3" s="1"/>
  <c r="E124" i="3"/>
  <c r="F124" i="3" s="1"/>
  <c r="E140" i="3"/>
  <c r="F140" i="3" s="1"/>
  <c r="E161" i="3"/>
  <c r="F161" i="3" s="1"/>
  <c r="E179" i="3"/>
  <c r="F179" i="3" s="1"/>
  <c r="E195" i="3"/>
  <c r="F195" i="3" s="1"/>
  <c r="E207" i="3"/>
  <c r="F207" i="3" s="1"/>
  <c r="E25" i="3"/>
  <c r="F25" i="3" s="1"/>
  <c r="E31" i="3"/>
  <c r="F31" i="3" s="1"/>
  <c r="E36" i="3"/>
  <c r="F36" i="3" s="1"/>
  <c r="E41" i="3"/>
  <c r="F41" i="3" s="1"/>
  <c r="E47" i="3"/>
  <c r="F47" i="3" s="1"/>
  <c r="E52" i="3"/>
  <c r="F52" i="3" s="1"/>
  <c r="E57" i="3"/>
  <c r="F57" i="3" s="1"/>
  <c r="E63" i="3"/>
  <c r="F63" i="3" s="1"/>
  <c r="E68" i="3"/>
  <c r="F68" i="3" s="1"/>
  <c r="E73" i="3"/>
  <c r="F73" i="3" s="1"/>
  <c r="E81" i="3"/>
  <c r="F81" i="3" s="1"/>
  <c r="E85" i="3"/>
  <c r="F85" i="3" s="1"/>
  <c r="E90" i="3"/>
  <c r="F90" i="3" s="1"/>
  <c r="E96" i="3"/>
  <c r="F96" i="3" s="1"/>
  <c r="E100" i="3"/>
  <c r="F100" i="3" s="1"/>
  <c r="E105" i="3"/>
  <c r="F105" i="3" s="1"/>
  <c r="E111" i="3"/>
  <c r="F111" i="3" s="1"/>
  <c r="E116" i="3"/>
  <c r="F116" i="3" s="1"/>
  <c r="E121" i="3"/>
  <c r="F121" i="3" s="1"/>
  <c r="E127" i="3"/>
  <c r="F127" i="3" s="1"/>
  <c r="E132" i="3"/>
  <c r="F132" i="3" s="1"/>
  <c r="E137" i="3"/>
  <c r="F137" i="3" s="1"/>
  <c r="E143" i="3"/>
  <c r="F143" i="3" s="1"/>
  <c r="E148" i="3"/>
  <c r="F148" i="3" s="1"/>
  <c r="E159" i="3"/>
  <c r="F159" i="3" s="1"/>
  <c r="E164" i="3"/>
  <c r="F164" i="3" s="1"/>
  <c r="E169" i="3"/>
  <c r="F169" i="3" s="1"/>
  <c r="E173" i="3"/>
  <c r="F173" i="3" s="1"/>
  <c r="E177" i="3"/>
  <c r="F177" i="3" s="1"/>
  <c r="E181" i="3"/>
  <c r="F181" i="3" s="1"/>
  <c r="E185" i="3"/>
  <c r="F185" i="3" s="1"/>
  <c r="E189" i="3"/>
  <c r="F189" i="3" s="1"/>
  <c r="E193" i="3"/>
  <c r="F193" i="3" s="1"/>
  <c r="E197" i="3"/>
  <c r="F197" i="3" s="1"/>
  <c r="E201" i="3"/>
  <c r="F201" i="3" s="1"/>
  <c r="E205" i="3"/>
  <c r="F205" i="3" s="1"/>
  <c r="E209" i="3"/>
  <c r="F209" i="3" s="1"/>
  <c r="E217" i="3"/>
  <c r="F217" i="3" s="1"/>
  <c r="E33" i="3"/>
  <c r="F33" i="3" s="1"/>
  <c r="E49" i="3"/>
  <c r="F49" i="3" s="1"/>
  <c r="E71" i="3"/>
  <c r="F71" i="3" s="1"/>
  <c r="E88" i="3"/>
  <c r="F88" i="3" s="1"/>
  <c r="E113" i="3"/>
  <c r="F113" i="3" s="1"/>
  <c r="E129" i="3"/>
  <c r="F129" i="3" s="1"/>
  <c r="E151" i="3"/>
  <c r="F151" i="3" s="1"/>
  <c r="E167" i="3"/>
  <c r="F167" i="3" s="1"/>
  <c r="E175" i="3"/>
  <c r="F175" i="3" s="1"/>
  <c r="E187" i="3"/>
  <c r="F187" i="3" s="1"/>
  <c r="E203" i="3"/>
  <c r="F203" i="3" s="1"/>
  <c r="E215" i="3"/>
  <c r="F215" i="3" s="1"/>
</calcChain>
</file>

<file path=xl/sharedStrings.xml><?xml version="1.0" encoding="utf-8"?>
<sst xmlns="http://schemas.openxmlformats.org/spreadsheetml/2006/main" count="5470" uniqueCount="2565">
  <si>
    <t>DIÓCESIS DE VALLEDUPAR</t>
  </si>
  <si>
    <t>Contrato para la Promoción e Implementación  
de Estrategias de Desarrollo Pedagógico</t>
  </si>
  <si>
    <t>MUNICIPIO :</t>
  </si>
  <si>
    <t>NIVEL EDUCATIVO :</t>
  </si>
  <si>
    <t>ESTABLECIMIENTO 
EDUCATIVO :</t>
  </si>
  <si>
    <t>GRADO :</t>
  </si>
  <si>
    <t>SEDE EDUCATIVA :</t>
  </si>
  <si>
    <t>JORNADA :</t>
  </si>
  <si>
    <t>Aprobó :</t>
  </si>
  <si>
    <t>Reprobó :</t>
  </si>
  <si>
    <t>¿Es Repitente?</t>
  </si>
  <si>
    <t>SI</t>
  </si>
  <si>
    <t>NO</t>
  </si>
  <si>
    <t>¿Viene de otra Institución Educativa?</t>
  </si>
  <si>
    <t>Si</t>
  </si>
  <si>
    <t>No</t>
  </si>
  <si>
    <t>¿ Cuál ?</t>
  </si>
  <si>
    <t>Anexar certificados de estudio a partir de grado 5°</t>
  </si>
  <si>
    <t>IDENTIFICACIÓN DEL ESTUDIANTE</t>
  </si>
  <si>
    <t>Tipo Doc:</t>
  </si>
  <si>
    <t>R.C</t>
  </si>
  <si>
    <t>T.I</t>
  </si>
  <si>
    <t>C.C</t>
  </si>
  <si>
    <t>C.Ext</t>
  </si>
  <si>
    <t>C.Cabildo</t>
  </si>
  <si>
    <t>Número Identificación:</t>
  </si>
  <si>
    <t xml:space="preserve">Depto de Expdición: </t>
  </si>
  <si>
    <t xml:space="preserve">Municipio de Expd: </t>
  </si>
  <si>
    <t>Género :</t>
  </si>
  <si>
    <t>Masculino</t>
  </si>
  <si>
    <t>Femenino</t>
  </si>
  <si>
    <t>Depto de Nacimiento:</t>
  </si>
  <si>
    <t xml:space="preserve">Municipio/Nacimiento: </t>
  </si>
  <si>
    <t>APELLIDOS Y NOMBRES</t>
  </si>
  <si>
    <t>Primer Apellido</t>
  </si>
  <si>
    <t>Segundo Apellido</t>
  </si>
  <si>
    <t>Primer Nombre</t>
  </si>
  <si>
    <t>Segundo Nombre</t>
  </si>
  <si>
    <t>DIRECCIÓN DE RESIDENCIA</t>
  </si>
  <si>
    <t>Departamento de Residencia :</t>
  </si>
  <si>
    <t>Barrio/Vereda  :</t>
  </si>
  <si>
    <t>Municipio Residencia :</t>
  </si>
  <si>
    <t>Zona :</t>
  </si>
  <si>
    <t>AFILIACIÓN AL SISTEMA DE SALUD</t>
  </si>
  <si>
    <t>EPS Afiliado :</t>
  </si>
  <si>
    <t>IPS Asignada :</t>
  </si>
  <si>
    <t>Tipo de Sangre y RH :</t>
  </si>
  <si>
    <t>ARS Afiliado :</t>
  </si>
  <si>
    <t>DESPLAZAMIENTO</t>
  </si>
  <si>
    <t>Víctima del Conflicto Armado :</t>
  </si>
  <si>
    <t>Depto Expulsor :</t>
  </si>
  <si>
    <t>Municipio Expulsor :</t>
  </si>
  <si>
    <t>SITUACIÓN SOCIOECONOMICA</t>
  </si>
  <si>
    <t xml:space="preserve">Tiene SISBEN </t>
  </si>
  <si>
    <t>Nivel SISBEN</t>
  </si>
  <si>
    <t>Estrato</t>
  </si>
  <si>
    <t>TERRITORIALIDAD</t>
  </si>
  <si>
    <t>Resguardo</t>
  </si>
  <si>
    <t>Etnia</t>
  </si>
  <si>
    <t xml:space="preserve">No Aplica </t>
  </si>
  <si>
    <t>DISCAPACIDADES Y CAPACIDADES EXCEPCIONALES</t>
  </si>
  <si>
    <t>Tipo Discapacidad :</t>
  </si>
  <si>
    <t>Tipo Capacidad Excepcional :</t>
  </si>
  <si>
    <t>Presenta Certificado Médico :</t>
  </si>
  <si>
    <t>Sistema de Responsabilidad Penal para Adolescentes (SRPA)</t>
  </si>
  <si>
    <t>No Aplica</t>
  </si>
  <si>
    <t>No Privado de la Libertad</t>
  </si>
  <si>
    <t>Privado de la Libertad</t>
  </si>
  <si>
    <t>INFORMACIÓN DEL ACUDIENTE</t>
  </si>
  <si>
    <t>Primer Apellido :</t>
  </si>
  <si>
    <t>Segundo Apellido:</t>
  </si>
  <si>
    <t>Primer Nombre :</t>
  </si>
  <si>
    <t>Segundo Nombre:</t>
  </si>
  <si>
    <t>Teléfono:</t>
  </si>
  <si>
    <t>Parentesco :</t>
  </si>
  <si>
    <t xml:space="preserve">RECTOR / DIRECTOR </t>
  </si>
  <si>
    <t>DOCENTE</t>
  </si>
  <si>
    <t>ACUDIENTE</t>
  </si>
  <si>
    <t>MUNICIPIO</t>
  </si>
  <si>
    <t>SEDE EDUCATIVA</t>
  </si>
  <si>
    <t>JORNADA</t>
  </si>
  <si>
    <t>AGUACHICA</t>
  </si>
  <si>
    <t>MAÑANA</t>
  </si>
  <si>
    <t>BÁSICA PRIMARIA</t>
  </si>
  <si>
    <t>X</t>
  </si>
  <si>
    <t>AGUSTÍN CODAZZI</t>
  </si>
  <si>
    <t>ASTREA</t>
  </si>
  <si>
    <t>BOSCONIA</t>
  </si>
  <si>
    <t>CHIMICHAGUA</t>
  </si>
  <si>
    <t>CHIRIGUANÁ</t>
  </si>
  <si>
    <t>CURUMANÍ</t>
  </si>
  <si>
    <t>EL COPEY</t>
  </si>
  <si>
    <t>LA GLORIA</t>
  </si>
  <si>
    <t>LA JAGUA DE IBIRICO</t>
  </si>
  <si>
    <t>PAILITAS</t>
  </si>
  <si>
    <t>PELAYA</t>
  </si>
  <si>
    <t>PUEBLO BELLO</t>
  </si>
  <si>
    <t>RÍO DE ORO</t>
  </si>
  <si>
    <t>SAN ALBERTO</t>
  </si>
  <si>
    <t>C.E. SANTA ROSA DE CARACOL</t>
  </si>
  <si>
    <t>C.E. SANTO DOMINGO</t>
  </si>
  <si>
    <t>C.E. ALTO SICARARE</t>
  </si>
  <si>
    <t>C.E. SAN JACINTO</t>
  </si>
  <si>
    <t>C.E. SAN PEDRO - ASTREA</t>
  </si>
  <si>
    <t>C.E. LA ESMERALDA</t>
  </si>
  <si>
    <t>C.E PIEDRAS BLANCAS</t>
  </si>
  <si>
    <t>C.E. SANTA LUCIA</t>
  </si>
  <si>
    <t>C.E. NUEVA LUZ</t>
  </si>
  <si>
    <t>C.E. SAN PEDRO</t>
  </si>
  <si>
    <t>C.E. CORAZONES ABAJO</t>
  </si>
  <si>
    <t>I.E. EL REPOSO</t>
  </si>
  <si>
    <t>C.E. SAN PABLO</t>
  </si>
  <si>
    <t>C.E. SAN ANTONIO</t>
  </si>
  <si>
    <t>C.E. RAYA GRANDE</t>
  </si>
  <si>
    <t>C.E. BELLA VISTA</t>
  </si>
  <si>
    <t>C.E. MARQUETALIA</t>
  </si>
  <si>
    <t>C.E. EL BALCON</t>
  </si>
  <si>
    <t>C.E. MONTE NEGRO</t>
  </si>
  <si>
    <t>PREESCOLAR</t>
  </si>
  <si>
    <t>BÁSICA SECUNDARIA</t>
  </si>
  <si>
    <t>MEDIA</t>
  </si>
  <si>
    <t>PRIMERO</t>
  </si>
  <si>
    <t>SEGUNDO</t>
  </si>
  <si>
    <t>TERCERO</t>
  </si>
  <si>
    <t>CUARTO</t>
  </si>
  <si>
    <t>QUINTO</t>
  </si>
  <si>
    <t>SEXTO</t>
  </si>
  <si>
    <t>SEPTIMO</t>
  </si>
  <si>
    <t>OCTAVO</t>
  </si>
  <si>
    <t>NOVENO</t>
  </si>
  <si>
    <t>UNDECIMO</t>
  </si>
  <si>
    <t>DÉCIMO</t>
  </si>
  <si>
    <t>ESTABLECIMIENTO EDUCATIVO</t>
  </si>
  <si>
    <t>SEDE BOQUERON</t>
  </si>
  <si>
    <t>SEDE CAÑO CARACOLI</t>
  </si>
  <si>
    <t>SEDE CARACOL</t>
  </si>
  <si>
    <t>SEDE CERRO DE LOS BUSTOS</t>
  </si>
  <si>
    <t>SEDE CERRO RENDONDO</t>
  </si>
  <si>
    <t>SEDE CRISTO REY</t>
  </si>
  <si>
    <t>SEDE CUESTA RICA</t>
  </si>
  <si>
    <t>SEDE EL CARBON</t>
  </si>
  <si>
    <t>SEDE HERNANDEZ CONTRERA</t>
  </si>
  <si>
    <t>SEDE LA RESBALOSA</t>
  </si>
  <si>
    <t>SEDE LA YEGUERA</t>
  </si>
  <si>
    <t>SEDE LAS ADJUNTAS</t>
  </si>
  <si>
    <t>SEDE LOS LLANOS</t>
  </si>
  <si>
    <t>SEDE LUZ Y VERDAD</t>
  </si>
  <si>
    <t>SEDE MARINILLA</t>
  </si>
  <si>
    <t>SEDE PALENQUILLO</t>
  </si>
  <si>
    <t>SEDE PLANADA DE LIMONCITO</t>
  </si>
  <si>
    <t>SEDE SOLEDAD</t>
  </si>
  <si>
    <t>SEDE BARCELONA</t>
  </si>
  <si>
    <t>SEDE LA PAJUILA</t>
  </si>
  <si>
    <t>SEDE LA UNION</t>
  </si>
  <si>
    <t>SEDE MEDIA LUNA</t>
  </si>
  <si>
    <t>SEDE PERALONSO</t>
  </si>
  <si>
    <t>SEDE SAGRADO CORAZON DE JESUS</t>
  </si>
  <si>
    <t>SEDE SANTA BARBARA</t>
  </si>
  <si>
    <t>SEDE LAS NUBES</t>
  </si>
  <si>
    <t>SEDE LAS VEGAS</t>
  </si>
  <si>
    <t>SEDE LAS VEGAS ALTAS</t>
  </si>
  <si>
    <t>SEDE SAN ANTONIO</t>
  </si>
  <si>
    <t>SEDE SANTA CECILIA</t>
  </si>
  <si>
    <t>SEDE SIETE DE AGOSTO</t>
  </si>
  <si>
    <t>SEDE AGUA BONITA</t>
  </si>
  <si>
    <t>SEDE CAÑO FRIO</t>
  </si>
  <si>
    <t>SEDE EL RETORNO</t>
  </si>
  <si>
    <t>SEDE LA ESTANCIA</t>
  </si>
  <si>
    <t>SEDE LA SONORA</t>
  </si>
  <si>
    <t>SEDE MARIA AUXILIADORA</t>
  </si>
  <si>
    <t>SEDE MAYUSA ALTO</t>
  </si>
  <si>
    <t>SEDE MILAGRO ABAJO</t>
  </si>
  <si>
    <t>SEDE MILAGRO ALTO</t>
  </si>
  <si>
    <t>SEDE MIRAFLORES</t>
  </si>
  <si>
    <t>SEDE SAN JOSE (FUERZAS UNIDAS)</t>
  </si>
  <si>
    <t>SEDE SAN MIGUEL</t>
  </si>
  <si>
    <t>SEDE ZORRO CUCO</t>
  </si>
  <si>
    <t>SEDE DIVINO NIÑO</t>
  </si>
  <si>
    <t>SEDE MARCOS TULIO BARRIOS PALOMINO</t>
  </si>
  <si>
    <t>SEDE MUNDO NUEVO</t>
  </si>
  <si>
    <t>ESC. RURAL EL EDEN  3</t>
  </si>
  <si>
    <t>SEDE 20 DE MAYO</t>
  </si>
  <si>
    <t>SEDE ALTO MINA 2</t>
  </si>
  <si>
    <t>SEDE CLARA ALICIA</t>
  </si>
  <si>
    <t>SEDE EL DIVINO NIÑO</t>
  </si>
  <si>
    <t>SEDE LA JUSTICIA</t>
  </si>
  <si>
    <t>SEDE LA LEY DE DIOS N° 2</t>
  </si>
  <si>
    <t>SEDE SAN MARTIN DE LOBA</t>
  </si>
  <si>
    <t>SEDE VILLA LUNA</t>
  </si>
  <si>
    <t>C.E. PIEDRAS BLANCAS</t>
  </si>
  <si>
    <t>SEDE CAÑO VENTURA</t>
  </si>
  <si>
    <t>SEDE DOS BRAZOS</t>
  </si>
  <si>
    <t>SEDE EL TIGRE</t>
  </si>
  <si>
    <t>SEDE NUEVA UNION</t>
  </si>
  <si>
    <t>SEDE LA BRILLANTINA</t>
  </si>
  <si>
    <t>SEDE LAS VIUDAS</t>
  </si>
  <si>
    <t>SEDE NUEVO CARMEN</t>
  </si>
  <si>
    <t>SEDE SAN MARTIN</t>
  </si>
  <si>
    <t>SEDE SANTO DOMINGO LAS VEGAS</t>
  </si>
  <si>
    <t>SEDE VILLA ROSA</t>
  </si>
  <si>
    <t>SEDE ALFONSO ARAGON</t>
  </si>
  <si>
    <t>SEDE LA LIBERTAD</t>
  </si>
  <si>
    <t>SEDE LOS MARTINEZ</t>
  </si>
  <si>
    <t>SEDE LUCITANIA</t>
  </si>
  <si>
    <t>SEDE MULA  MEDIA</t>
  </si>
  <si>
    <t>SEDE SAN JOSE</t>
  </si>
  <si>
    <t>SEDE CASA DE PIEDRA</t>
  </si>
  <si>
    <t>SEDE EL ESPEJO</t>
  </si>
  <si>
    <t>SEDE HORIZONTE ALTO</t>
  </si>
  <si>
    <t>SEDE LA CONGA</t>
  </si>
  <si>
    <t>SEDE ALTOS LA NEVERA</t>
  </si>
  <si>
    <t>SEDE ARIGUANI</t>
  </si>
  <si>
    <t>SEDE BELLAVISTA</t>
  </si>
  <si>
    <t>SEDE BETHANIA</t>
  </si>
  <si>
    <t>SEDE INDIGENA GUNKEY</t>
  </si>
  <si>
    <t>SEDE LA AURORA</t>
  </si>
  <si>
    <t>SEDE LA CUMBRE</t>
  </si>
  <si>
    <t>SEDE LA ISLA</t>
  </si>
  <si>
    <t>SEDE LA PUYA</t>
  </si>
  <si>
    <t>SEDE PALMIRA</t>
  </si>
  <si>
    <t>SEDE TIERRA NUEVA</t>
  </si>
  <si>
    <t>SEDE TOSNOVAN</t>
  </si>
  <si>
    <t>SEDE VILLA ESPERANZA 1</t>
  </si>
  <si>
    <t>SEDE VILLA ESPERANZA 2</t>
  </si>
  <si>
    <t>SEDE BELLA ESPERANZA</t>
  </si>
  <si>
    <t>SEDE BELLA MARIA</t>
  </si>
  <si>
    <t>SEDE EL COMUN</t>
  </si>
  <si>
    <t>SEDE EL ESFUERZO</t>
  </si>
  <si>
    <t>SEDE EL PARAISO</t>
  </si>
  <si>
    <t>SEDE EL SALTILLO</t>
  </si>
  <si>
    <t>SEDE JOSE ANTONIO GALAN</t>
  </si>
  <si>
    <t>SEDE LA ALDEA</t>
  </si>
  <si>
    <t>SEDE LA ESTACION</t>
  </si>
  <si>
    <t>SEDE LA GLORIA</t>
  </si>
  <si>
    <t>SEDE LA LAGUNA</t>
  </si>
  <si>
    <t>SEDE LA PACHITA</t>
  </si>
  <si>
    <t>SEDE LA PAILA</t>
  </si>
  <si>
    <t xml:space="preserve">SEDE LA VICTORIA DOS BOCAS </t>
  </si>
  <si>
    <t>SEDE LOS MANGOS</t>
  </si>
  <si>
    <t>SEDE LOS MILAGROS</t>
  </si>
  <si>
    <t>SEDE NIÑO JESUS</t>
  </si>
  <si>
    <t>SEDE NO TE PASES</t>
  </si>
  <si>
    <t>SEDE NUEVO MUNDO</t>
  </si>
  <si>
    <t>SEDE SAN JORGE</t>
  </si>
  <si>
    <t>SEDE SANTA RITA NO. 2</t>
  </si>
  <si>
    <t>SEDE SIMON GONZALES</t>
  </si>
  <si>
    <t>SEDE VILLA ANTONIA</t>
  </si>
  <si>
    <t>SEDE VILLA DEL ROSARIO</t>
  </si>
  <si>
    <t xml:space="preserve">SEDE CAÑO JUAN ALTO </t>
  </si>
  <si>
    <t>SEDE CAÑO JUAN MACITO (SEDE CAÑO GUAYABO)</t>
  </si>
  <si>
    <t>SEDE EL PIÑON</t>
  </si>
  <si>
    <t>SEDE LA VIRGEN</t>
  </si>
  <si>
    <t>SEDE LAS DAMAS</t>
  </si>
  <si>
    <t>SEDE LLANO CRUZADO</t>
  </si>
  <si>
    <t>SEDE VILLA DE NEIRA</t>
  </si>
  <si>
    <t>SEDE ARACORAIMA</t>
  </si>
  <si>
    <t>SEDE ARGENTINA NORTE</t>
  </si>
  <si>
    <t>SEDE BUENOS AIRES</t>
  </si>
  <si>
    <t>SEDE CAMPO ALEGRE</t>
  </si>
  <si>
    <t>SEDE COSTA RICA</t>
  </si>
  <si>
    <t>SEDE EL CAUDALOSO</t>
  </si>
  <si>
    <t>SEDE EL ZUMBADOR ALTO</t>
  </si>
  <si>
    <t>SEDE EL ZUMBADOR BAJO</t>
  </si>
  <si>
    <t>SEDE LA CONQUISTA</t>
  </si>
  <si>
    <t>SEDE LA ESMERALDA</t>
  </si>
  <si>
    <t>SEDE LA ESPERANZA</t>
  </si>
  <si>
    <t>SEDE LA LUCHA</t>
  </si>
  <si>
    <t>SEDE LA TRINIDAD</t>
  </si>
  <si>
    <t>SEDE LAS DELICIAS</t>
  </si>
  <si>
    <t>SEDE MANIZALES ALTO</t>
  </si>
  <si>
    <t>SEDE MANIZALES BAJO</t>
  </si>
  <si>
    <t>SEDE MARTIN EMILIO HERNANDEZ</t>
  </si>
  <si>
    <t>SEDE SAN ISIDRO</t>
  </si>
  <si>
    <t>SEDE SORORIA ABAJO</t>
  </si>
  <si>
    <t>SEDE BARRO BLANCO N° 1</t>
  </si>
  <si>
    <t>SEDE BOBALI N° 1</t>
  </si>
  <si>
    <t>SEDE CAÑO ARENAS</t>
  </si>
  <si>
    <t>SEDE EL TERROR</t>
  </si>
  <si>
    <t>SEDE LAS LLAVES</t>
  </si>
  <si>
    <t>SEDE LOS ANDES N° 1</t>
  </si>
  <si>
    <t>SEDE LOS CORAZONES</t>
  </si>
  <si>
    <t>SEDE SINGARARE 1</t>
  </si>
  <si>
    <t>SEDE CARRIZAL</t>
  </si>
  <si>
    <t>SEDE LA LEJIA</t>
  </si>
  <si>
    <t xml:space="preserve">SEDE LOS MANANTIALES </t>
  </si>
  <si>
    <t>SEDE RAICES ALTAS</t>
  </si>
  <si>
    <t>SEDE SINGARARE III</t>
  </si>
  <si>
    <t>SEDE BELGICA</t>
  </si>
  <si>
    <t>SEDE CUESTA PLATA</t>
  </si>
  <si>
    <t>SEDE CUESTA PLATA 2</t>
  </si>
  <si>
    <t>SEDE EL COROMBO</t>
  </si>
  <si>
    <t>SEDE HORIZONTE</t>
  </si>
  <si>
    <t>SEDE LAS MARIPOSAS 2</t>
  </si>
  <si>
    <t>SEDE UNKMCHU</t>
  </si>
  <si>
    <t>SEDE LOS MEJICOS</t>
  </si>
  <si>
    <t>SEDE 21 DE ABRIL</t>
  </si>
  <si>
    <t>SEDE JESUS DE BELEN</t>
  </si>
  <si>
    <t>SEDE MIRAMAR</t>
  </si>
  <si>
    <t>SEDE MONTE NEGRO ALTO</t>
  </si>
  <si>
    <t>SEDE PALMA REAL</t>
  </si>
  <si>
    <t xml:space="preserve">Fecha/Nacimiento (dd/mm/aaaa) : </t>
  </si>
  <si>
    <t>RURAL</t>
  </si>
  <si>
    <t xml:space="preserve">Fecha/Expulsión (dd/mm/aaaa) : </t>
  </si>
  <si>
    <t>LISTA DESPLEGABLES SEDES</t>
  </si>
  <si>
    <t>LISTA DESPLEGABLES MUNICIPIO</t>
  </si>
  <si>
    <t>LISTA DESPLEGABLES ESTABLECIMEINTOS</t>
  </si>
  <si>
    <t>I</t>
  </si>
  <si>
    <t>II</t>
  </si>
  <si>
    <t>III</t>
  </si>
  <si>
    <t>IV</t>
  </si>
  <si>
    <t>V</t>
  </si>
  <si>
    <t>PADRE</t>
  </si>
  <si>
    <t>MADRE</t>
  </si>
  <si>
    <t>ABUELO</t>
  </si>
  <si>
    <t>ABUELA</t>
  </si>
  <si>
    <t>OTRO</t>
  </si>
  <si>
    <t>HERMANO/A</t>
  </si>
  <si>
    <t>TÍA</t>
  </si>
  <si>
    <t>TÍO</t>
  </si>
  <si>
    <t>DANE EE</t>
  </si>
  <si>
    <t>DANE SEDE</t>
  </si>
  <si>
    <t>220011023797</t>
  </si>
  <si>
    <t>220011000037</t>
  </si>
  <si>
    <t>220011000355</t>
  </si>
  <si>
    <t>220011001297</t>
  </si>
  <si>
    <t>220011001726</t>
  </si>
  <si>
    <t>220011001734</t>
  </si>
  <si>
    <t>220011001882</t>
  </si>
  <si>
    <t>220011001891</t>
  </si>
  <si>
    <t>220011001904</t>
  </si>
  <si>
    <t>220011001912</t>
  </si>
  <si>
    <t>220011001939</t>
  </si>
  <si>
    <t>220011001947</t>
  </si>
  <si>
    <t>220011001955</t>
  </si>
  <si>
    <t>220011001963</t>
  </si>
  <si>
    <t>220011001980</t>
  </si>
  <si>
    <t>220011002145</t>
  </si>
  <si>
    <t>220011002200</t>
  </si>
  <si>
    <t>220011022294</t>
  </si>
  <si>
    <t>420011002241</t>
  </si>
  <si>
    <t>220011001181</t>
  </si>
  <si>
    <t>220011000029</t>
  </si>
  <si>
    <t>220011001190</t>
  </si>
  <si>
    <t>220011001220</t>
  </si>
  <si>
    <t>220011001751</t>
  </si>
  <si>
    <t>220011001777</t>
  </si>
  <si>
    <t>220011001785</t>
  </si>
  <si>
    <t>220011023576</t>
  </si>
  <si>
    <t>220013022151</t>
  </si>
  <si>
    <t>220013000034</t>
  </si>
  <si>
    <t>220013004366</t>
  </si>
  <si>
    <t>220013022020</t>
  </si>
  <si>
    <t>220013022071</t>
  </si>
  <si>
    <t>220013022224</t>
  </si>
  <si>
    <t>220013022631</t>
  </si>
  <si>
    <t>220013000174</t>
  </si>
  <si>
    <t>220013000514</t>
  </si>
  <si>
    <t>220013000581</t>
  </si>
  <si>
    <t>220013000808</t>
  </si>
  <si>
    <t>220013000891</t>
  </si>
  <si>
    <t>220013000972</t>
  </si>
  <si>
    <t>220013001235</t>
  </si>
  <si>
    <t>220013001502</t>
  </si>
  <si>
    <t>220013001731</t>
  </si>
  <si>
    <t>220013001987</t>
  </si>
  <si>
    <t>220013022313</t>
  </si>
  <si>
    <t>220013022356</t>
  </si>
  <si>
    <t>220013022836</t>
  </si>
  <si>
    <t>220013022844</t>
  </si>
  <si>
    <t>420013001528</t>
  </si>
  <si>
    <t>220032000835</t>
  </si>
  <si>
    <t>220032000444</t>
  </si>
  <si>
    <t>220032009352</t>
  </si>
  <si>
    <t>220032009387</t>
  </si>
  <si>
    <t>220060003271</t>
  </si>
  <si>
    <t>220060000023</t>
  </si>
  <si>
    <t>220060003262</t>
  </si>
  <si>
    <t>220060003301</t>
  </si>
  <si>
    <t>220060003319</t>
  </si>
  <si>
    <t>220060003351</t>
  </si>
  <si>
    <t>220060003360</t>
  </si>
  <si>
    <t>220060003378</t>
  </si>
  <si>
    <t>220060003408</t>
  </si>
  <si>
    <t>220060003416</t>
  </si>
  <si>
    <t>220228000841</t>
  </si>
  <si>
    <t>220175001506</t>
  </si>
  <si>
    <t>220175018182</t>
  </si>
  <si>
    <t>220175018247</t>
  </si>
  <si>
    <t>220175018557</t>
  </si>
  <si>
    <t>220175018425</t>
  </si>
  <si>
    <t>220175001221</t>
  </si>
  <si>
    <t>220175017887</t>
  </si>
  <si>
    <t>220175018441</t>
  </si>
  <si>
    <t>220175018450</t>
  </si>
  <si>
    <t>220175018476</t>
  </si>
  <si>
    <t>220175018514</t>
  </si>
  <si>
    <t>220178015435</t>
  </si>
  <si>
    <t>220178000012</t>
  </si>
  <si>
    <t>220178000462</t>
  </si>
  <si>
    <t>220178001345</t>
  </si>
  <si>
    <t>220178015427</t>
  </si>
  <si>
    <t>220178015443</t>
  </si>
  <si>
    <t>220178015478</t>
  </si>
  <si>
    <t>220228001015</t>
  </si>
  <si>
    <t>220228001198</t>
  </si>
  <si>
    <t>220228001252</t>
  </si>
  <si>
    <t>220228001457</t>
  </si>
  <si>
    <t>220228001473</t>
  </si>
  <si>
    <t>220228017035</t>
  </si>
  <si>
    <t>220238001111</t>
  </si>
  <si>
    <t>220238000319</t>
  </si>
  <si>
    <t>220238000882</t>
  </si>
  <si>
    <t>220238001129</t>
  </si>
  <si>
    <t>220238001153</t>
  </si>
  <si>
    <t>220238001161</t>
  </si>
  <si>
    <t>220238001218</t>
  </si>
  <si>
    <t>220238001242</t>
  </si>
  <si>
    <t>220238001382</t>
  </si>
  <si>
    <t>220238001439</t>
  </si>
  <si>
    <t>220238016941</t>
  </si>
  <si>
    <t>220238017017</t>
  </si>
  <si>
    <t>220238017190</t>
  </si>
  <si>
    <t>220238017271</t>
  </si>
  <si>
    <t>220238017297</t>
  </si>
  <si>
    <t>220238017424</t>
  </si>
  <si>
    <t>220238017467</t>
  </si>
  <si>
    <t>220238017491</t>
  </si>
  <si>
    <t>220238001315</t>
  </si>
  <si>
    <t>220238000025</t>
  </si>
  <si>
    <t>220238000947</t>
  </si>
  <si>
    <t>220238000980</t>
  </si>
  <si>
    <t>220238000998</t>
  </si>
  <si>
    <t>220238001048</t>
  </si>
  <si>
    <t>220238001072</t>
  </si>
  <si>
    <t>220238001102</t>
  </si>
  <si>
    <t>220238001251</t>
  </si>
  <si>
    <t>220238001277</t>
  </si>
  <si>
    <t>220238001285</t>
  </si>
  <si>
    <t>220238001293</t>
  </si>
  <si>
    <t>220238001471</t>
  </si>
  <si>
    <t>220238001561</t>
  </si>
  <si>
    <t>220238016916</t>
  </si>
  <si>
    <t>220238016959</t>
  </si>
  <si>
    <t>220238017050</t>
  </si>
  <si>
    <t>220238017203</t>
  </si>
  <si>
    <t>220238017238</t>
  </si>
  <si>
    <t>220238017262</t>
  </si>
  <si>
    <t>220238017289</t>
  </si>
  <si>
    <t>220238017351</t>
  </si>
  <si>
    <t>220238017378</t>
  </si>
  <si>
    <t>220238017386</t>
  </si>
  <si>
    <t>220238017459</t>
  </si>
  <si>
    <t>220238800021</t>
  </si>
  <si>
    <t>220383000360</t>
  </si>
  <si>
    <t>120383000331</t>
  </si>
  <si>
    <t>220383000149</t>
  </si>
  <si>
    <t>220383000424</t>
  </si>
  <si>
    <t>220383008417</t>
  </si>
  <si>
    <t>220383008450</t>
  </si>
  <si>
    <t>220383008531</t>
  </si>
  <si>
    <t>220383008638</t>
  </si>
  <si>
    <t>220383008646</t>
  </si>
  <si>
    <t>220400008795</t>
  </si>
  <si>
    <t>220400000051</t>
  </si>
  <si>
    <t>220400000131</t>
  </si>
  <si>
    <t>220400000221</t>
  </si>
  <si>
    <t>220400000468</t>
  </si>
  <si>
    <t>220400000514</t>
  </si>
  <si>
    <t>220400000522</t>
  </si>
  <si>
    <t>220400000531</t>
  </si>
  <si>
    <t>220400000603</t>
  </si>
  <si>
    <t>220400000620</t>
  </si>
  <si>
    <t>220400000786</t>
  </si>
  <si>
    <t>220400008311</t>
  </si>
  <si>
    <t>220400008523</t>
  </si>
  <si>
    <t>220400008540</t>
  </si>
  <si>
    <t>220400008604</t>
  </si>
  <si>
    <t>220400008736</t>
  </si>
  <si>
    <t>220400008817</t>
  </si>
  <si>
    <t>220400008825</t>
  </si>
  <si>
    <t>220400008833</t>
  </si>
  <si>
    <t>220400008850</t>
  </si>
  <si>
    <t>220400008876</t>
  </si>
  <si>
    <t>220400008906</t>
  </si>
  <si>
    <t>220517000060</t>
  </si>
  <si>
    <t>220517000035</t>
  </si>
  <si>
    <t>220517000523</t>
  </si>
  <si>
    <t>220517000612</t>
  </si>
  <si>
    <t>220517000698</t>
  </si>
  <si>
    <t>220517000981</t>
  </si>
  <si>
    <t>220517011070</t>
  </si>
  <si>
    <t>220517011371</t>
  </si>
  <si>
    <t>220517011410</t>
  </si>
  <si>
    <t>420517000778</t>
  </si>
  <si>
    <t>420517000794</t>
  </si>
  <si>
    <t>220550005654</t>
  </si>
  <si>
    <t>220550000458</t>
  </si>
  <si>
    <t>220550000504</t>
  </si>
  <si>
    <t>220550005760</t>
  </si>
  <si>
    <t>220550800004</t>
  </si>
  <si>
    <t>220550800012</t>
  </si>
  <si>
    <t>220001006461</t>
  </si>
  <si>
    <t>220001005065</t>
  </si>
  <si>
    <t>220001067273</t>
  </si>
  <si>
    <t>220238001145</t>
  </si>
  <si>
    <t>220570068172</t>
  </si>
  <si>
    <t>220570068268</t>
  </si>
  <si>
    <t>220570068326</t>
  </si>
  <si>
    <t>220570068466</t>
  </si>
  <si>
    <t>220570068491</t>
  </si>
  <si>
    <t>220614001445</t>
  </si>
  <si>
    <t>220614015292</t>
  </si>
  <si>
    <t>220710012181</t>
  </si>
  <si>
    <t>220710000751</t>
  </si>
  <si>
    <t>220710000786</t>
  </si>
  <si>
    <t>220710012091</t>
  </si>
  <si>
    <t>220710012199</t>
  </si>
  <si>
    <t>220710012296</t>
  </si>
  <si>
    <t>GOBERNACION DEL CESAR- DIOCESIS DE VALLEDUPAR</t>
  </si>
  <si>
    <t>DEPARTAMENTO DEL CESAR- DIOCESIS DE VALLEDUPAR</t>
  </si>
  <si>
    <t>ANEXO 6A MATRICULA 2007</t>
  </si>
  <si>
    <t>CODIGO_DANE_SEDE</t>
  </si>
  <si>
    <t>NRO_DOCUMENTO</t>
  </si>
  <si>
    <t>EXP_DEPTO</t>
  </si>
  <si>
    <t>EXP_MUN</t>
  </si>
  <si>
    <t>APELLIDO1</t>
  </si>
  <si>
    <t>APELLIDO 2</t>
  </si>
  <si>
    <t>NOMBRE 1</t>
  </si>
  <si>
    <t>NOMBRE 2</t>
  </si>
  <si>
    <t>GRADO</t>
  </si>
  <si>
    <t>FECHA DE NACIMIENTO (DIA/MES/AÑO)</t>
  </si>
  <si>
    <t>NAC_DEPTO</t>
  </si>
  <si>
    <t>NAC_MUN</t>
  </si>
  <si>
    <t>GENERO</t>
  </si>
  <si>
    <t>ESTRATO</t>
  </si>
  <si>
    <t>RESI_DEP</t>
  </si>
  <si>
    <t>RESI_MUN</t>
  </si>
  <si>
    <t>POB_VIC_C</t>
  </si>
  <si>
    <t>CAP_EXC</t>
  </si>
  <si>
    <t>ETNIA</t>
  </si>
  <si>
    <t>RESGUARDO</t>
  </si>
  <si>
    <t>CARÁCTER</t>
  </si>
  <si>
    <t>ESPECIALIDAD</t>
  </si>
  <si>
    <t>METODOLOGÍA</t>
  </si>
  <si>
    <t>NUEVO</t>
  </si>
  <si>
    <t>REPITENTE</t>
  </si>
  <si>
    <t>TIPO_SANGRE</t>
  </si>
  <si>
    <t>ARS</t>
  </si>
  <si>
    <t>EPS</t>
  </si>
  <si>
    <t>ZONA</t>
  </si>
  <si>
    <t>SISBEN</t>
  </si>
  <si>
    <t>NUM_DOC</t>
  </si>
  <si>
    <t>EXP_DEP</t>
  </si>
  <si>
    <t>BUSQUEDA DANE</t>
  </si>
  <si>
    <t>AGUACHICAC.E. SANTA ROSA DE CARACOLSEDE CARACOL</t>
  </si>
  <si>
    <t>AGUACHICAC.E. SANTA ROSA DE CARACOLSEDE SOLEDAD</t>
  </si>
  <si>
    <t>AGUACHICAC.E. SANTA ROSA DE CARACOLSEDE LOS LLANOS</t>
  </si>
  <si>
    <t>AGUACHICAC.E. SANTA ROSA DE CARACOLSEDE PLANADA DE LIMONCITO</t>
  </si>
  <si>
    <t>AGUACHICAC.E. SANTA ROSA DE CARACOLSEDE EL CARBON</t>
  </si>
  <si>
    <t>AGUACHICAC.E. SANTA ROSA DE CARACOLSEDE CAÑO CARACOLI</t>
  </si>
  <si>
    <t>AGUACHICAC.E. SANTA ROSA DE CARACOLSEDE LUZ Y VERDAD</t>
  </si>
  <si>
    <t>AGUACHICAC.E. SANTA ROSA DE CARACOLSEDE MARINILLA</t>
  </si>
  <si>
    <t>AGUACHICAC.E. SANTA ROSA DE CARACOLSEDE CRISTO REY</t>
  </si>
  <si>
    <t>AGUACHICAC.E. SANTA ROSA DE CARACOLSEDE CERRO RENDONDO</t>
  </si>
  <si>
    <t>AGUACHICAC.E. SANTA ROSA DE CARACOLSEDE LAS ADJUNTAS</t>
  </si>
  <si>
    <t>AGUACHICAC.E. SANTA ROSA DE CARACOLSEDE CUESTA RICA</t>
  </si>
  <si>
    <t>AGUACHICAC.E. SANTA ROSA DE CARACOLSEDE CERRO DE LOS BUSTOS</t>
  </si>
  <si>
    <t>AGUACHICAC.E. SANTA ROSA DE CARACOLSEDE HERNANDEZ CONTRERA</t>
  </si>
  <si>
    <t>AGUACHICAC.E. SANTA ROSA DE CARACOLSEDE LA YEGUERA</t>
  </si>
  <si>
    <t>AGUACHICAC.E. SANTA ROSA DE CARACOLSEDE BOQUERON</t>
  </si>
  <si>
    <t>AGUACHICAC.E. SANTA ROSA DE CARACOLSEDE PALENQUILLO</t>
  </si>
  <si>
    <t>AGUACHICAC.E. SANTA ROSA DE CARACOLSEDE LA RESBALOSA</t>
  </si>
  <si>
    <t>AGUACHICAC.E. SANTO DOMINGOSEDE SAGRADO CORAZON DE JESUS</t>
  </si>
  <si>
    <t>AGUACHICAC.E. SANTO DOMINGOC.E. SANTO DOMINGO</t>
  </si>
  <si>
    <t>AGUACHICAC.E. SANTO DOMINGOSEDE SANTA BARBARA</t>
  </si>
  <si>
    <t>AGUACHICAC.E. SANTO DOMINGOSEDE LA PAJUILA</t>
  </si>
  <si>
    <t>AGUACHICAC.E. SANTO DOMINGOSEDE LA UNION</t>
  </si>
  <si>
    <t>AGUACHICAC.E. SANTO DOMINGOSEDE MEDIA LUNA</t>
  </si>
  <si>
    <t>AGUACHICAC.E. SANTO DOMINGOSEDE BARCELONA</t>
  </si>
  <si>
    <t>AGUACHICAC.E. SANTO DOMINGOSEDE PERALONSO</t>
  </si>
  <si>
    <t>AGUSTÍN CODAZZIC.E. ALTO SICARARESEDE SANTA CECILIA</t>
  </si>
  <si>
    <t>AGUSTÍN CODAZZIC.E. ALTO SICARARESEDE LAS NUBES</t>
  </si>
  <si>
    <t>AGUSTÍN CODAZZIC.E. ALTO SICARARESEDE LAS VEGAS</t>
  </si>
  <si>
    <t>AGUSTÍN CODAZZIC.E. ALTO SICARARESEDE SIETE DE AGOSTO</t>
  </si>
  <si>
    <t>AGUSTÍN CODAZZIC.E. ALTO SICARAREC.E. ALTO SICARARE</t>
  </si>
  <si>
    <t>AGUSTÍN CODAZZIC.E. ALTO SICARARESEDE SAN ANTONIO</t>
  </si>
  <si>
    <t>AGUSTÍN CODAZZIC.E. ALTO SICARARESEDE LAS VEGAS ALTAS</t>
  </si>
  <si>
    <t>AGUSTÍN CODAZZIC.E. SAN JACINTOC.E. SAN JACINTO</t>
  </si>
  <si>
    <t>AGUSTÍN CODAZZIC.E. SAN JACINTOSEDE AGUA BONITA</t>
  </si>
  <si>
    <t>AGUSTÍN CODAZZIC.E. SAN JACINTOSEDE MARIA AUXILIADORA</t>
  </si>
  <si>
    <t>AGUSTÍN CODAZZIC.E. SAN JACINTOSEDE SAN MIGUEL</t>
  </si>
  <si>
    <t>AGUSTÍN CODAZZIC.E. SAN JACINTOSEDE MAYUSA ALTO</t>
  </si>
  <si>
    <t>AGUSTÍN CODAZZIC.E. SAN JACINTOSEDE ZORRO CUCO</t>
  </si>
  <si>
    <t>AGUSTÍN CODAZZIC.E. SAN JACINTOSEDE MILAGRO ALTO</t>
  </si>
  <si>
    <t>AGUSTÍN CODAZZIC.E. SAN JACINTOSEDE SANTA BARBARA</t>
  </si>
  <si>
    <t>AGUSTÍN CODAZZIC.E. SAN JACINTOSEDE CAÑO FRIO</t>
  </si>
  <si>
    <t>AGUSTÍN CODAZZIC.E. SAN JACINTOSEDE SAN JOSE (FUERZAS UNIDAS)</t>
  </si>
  <si>
    <t>AGUSTÍN CODAZZIC.E. SAN JACINTOSEDE MILAGRO ABAJO</t>
  </si>
  <si>
    <t>AGUSTÍN CODAZZIC.E. SAN JACINTOSEDE MIRAFLORES</t>
  </si>
  <si>
    <t>AGUSTÍN CODAZZIC.E. SAN JACINTOSEDE EL RETORNO</t>
  </si>
  <si>
    <t>AGUSTÍN CODAZZIC.E. SAN JACINTOSEDE LA ESTANCIA</t>
  </si>
  <si>
    <t>AGUSTÍN CODAZZIC.E. SAN JACINTOSEDE LA SONORA</t>
  </si>
  <si>
    <t>ASTREAC.E. SAN PEDRO - ASTREASEDE MUNDO NUEVO</t>
  </si>
  <si>
    <t>ASTREAC.E. SAN PEDRO - ASTREAC.E. SAN PEDRO</t>
  </si>
  <si>
    <t>ASTREAC.E. SAN PEDRO - ASTREASEDE DIVINO NIÑO</t>
  </si>
  <si>
    <t>ASTREAC.E. SAN PEDRO - ASTREASEDE MARCOS TULIO BARRIOS PALOMINO</t>
  </si>
  <si>
    <t>BOSCONIAC.E. LA ESMERALDAESC. RURAL EL EDEN  3</t>
  </si>
  <si>
    <t>BOSCONIAC.E. LA ESMERALDASEDE LA LEY DE DIOS N° 2</t>
  </si>
  <si>
    <t>BOSCONIAC.E. LA ESMERALDASEDE VILLA LUNA</t>
  </si>
  <si>
    <t>BOSCONIAC.E. LA ESMERALDASEDE LA JUSTICIA</t>
  </si>
  <si>
    <t>BOSCONIAC.E. LA ESMERALDASEDE CLARA ALICIA</t>
  </si>
  <si>
    <t>BOSCONIAC.E. LA ESMERALDASEDE 20 DE MAYO</t>
  </si>
  <si>
    <t>BOSCONIAC.E. LA ESMERALDASEDE EL DIVINO NIÑO</t>
  </si>
  <si>
    <t>BOSCONIAC.E. LA ESMERALDASEDE SAN MARTIN DE LOBA</t>
  </si>
  <si>
    <t>BOSCONIAC.E. LA ESMERALDASEDE ALTO MINA 2</t>
  </si>
  <si>
    <t>CHIMICHAGUAC.E PIEDRAS BLANCASSEDE EL TIGRE</t>
  </si>
  <si>
    <t>CHIMICHAGUAC.E PIEDRAS BLANCASSEDE CAÑO VENTURA</t>
  </si>
  <si>
    <t>CHIMICHAGUAC.E PIEDRAS BLANCASSEDE DOS BRAZOS</t>
  </si>
  <si>
    <t>CHIMICHAGUAC.E PIEDRAS BLANCASSEDE NUEVA UNION</t>
  </si>
  <si>
    <t>CHIMICHAGUAC.E PIEDRAS BLANCASC.E. PIEDRAS BLANCAS</t>
  </si>
  <si>
    <t>CHIMICHAGUAC.E. SANTA LUCIASEDE LA BRILLANTINA</t>
  </si>
  <si>
    <t>CHIMICHAGUAC.E. SANTA LUCIASEDE LAS VIUDAS</t>
  </si>
  <si>
    <t>CHIMICHAGUAC.E. SANTA LUCIAC.E. SANTA LUCIA</t>
  </si>
  <si>
    <t>CHIMICHAGUAC.E. SANTA LUCIASEDE NUEVO CARMEN</t>
  </si>
  <si>
    <t>CHIMICHAGUAC.E. SANTA LUCIASEDE SANTO DOMINGO LAS VEGAS</t>
  </si>
  <si>
    <t>CHIMICHAGUAC.E. SANTA LUCIASEDE SAN MARTIN</t>
  </si>
  <si>
    <t>CHIMICHAGUAC.E. SANTA LUCIASEDE VILLA ROSA</t>
  </si>
  <si>
    <t>CHIRIGUANÁC.E. NUEVA LUZSEDE LOS MARTINEZ</t>
  </si>
  <si>
    <t>CHIRIGUANÁC.E. NUEVA LUZSEDE ALFONSO ARAGON</t>
  </si>
  <si>
    <t>CHIRIGUANÁC.E. NUEVA LUZSEDE MULA  MEDIA</t>
  </si>
  <si>
    <t>CHIRIGUANÁC.E. NUEVA LUZSEDE LUCITANIA</t>
  </si>
  <si>
    <t>CHIRIGUANÁC.E. NUEVA LUZC.E. NUEVA LUZ</t>
  </si>
  <si>
    <t>CHIRIGUANÁC.E. NUEVA LUZSEDE SAN JOSE</t>
  </si>
  <si>
    <t>CHIRIGUANÁC.E. NUEVA LUZSEDE LA LIBERTAD</t>
  </si>
  <si>
    <t>CURUMANÍC.E. SAN PEDROC.E. SAN PEDRO</t>
  </si>
  <si>
    <t>CURUMANÍC.E. SAN PEDROSEDE CASA DE PIEDRA</t>
  </si>
  <si>
    <t>CURUMANÍC.E. SAN PEDROSEDE LA CONGA</t>
  </si>
  <si>
    <t>CURUMANÍC.E. SAN PEDROSEDE LA LIBERTAD</t>
  </si>
  <si>
    <t>CURUMANÍC.E. SAN PEDROSEDE EL ESPEJO</t>
  </si>
  <si>
    <t>CURUMANÍC.E. SAN PEDROSEDE HORIZONTE ALTO</t>
  </si>
  <si>
    <t>EL COPEYC.E. CORAZONES ABAJOSEDE VILLA ESPERANZA 2</t>
  </si>
  <si>
    <t>EL COPEYC.E. CORAZONES ABAJOSEDE SAGRADO CORAZON DE JESUS</t>
  </si>
  <si>
    <t>EL COPEYC.E. CORAZONES ABAJOC.E. CORAZONES ABAJO</t>
  </si>
  <si>
    <t>EL COPEYC.E. CORAZONES ABAJOSEDE LA PUYA</t>
  </si>
  <si>
    <t>EL COPEYC.E. CORAZONES ABAJOSEDE LA CUMBRE</t>
  </si>
  <si>
    <t>EL COPEYC.E. CORAZONES ABAJOSEDE TOSNOVAN</t>
  </si>
  <si>
    <t>EL COPEYC.E. CORAZONES ABAJOSEDE MIRAFLORES</t>
  </si>
  <si>
    <t>EL COPEYC.E. CORAZONES ABAJOSEDE VILLA ESPERANZA 1</t>
  </si>
  <si>
    <t>EL COPEYC.E. CORAZONES ABAJOSEDE ALTOS LA NEVERA</t>
  </si>
  <si>
    <t>EL COPEYC.E. CORAZONES ABAJOSEDE TIERRA NUEVA</t>
  </si>
  <si>
    <t>EL COPEYC.E. CORAZONES ABAJOSEDE BELLAVISTA</t>
  </si>
  <si>
    <t>EL COPEYC.E. CORAZONES ABAJOSEDE LA AURORA</t>
  </si>
  <si>
    <t>EL COPEYC.E. CORAZONES ABAJOSEDE LA ISLA</t>
  </si>
  <si>
    <t>EL COPEYC.E. CORAZONES ABAJOSEDE BETHANIA</t>
  </si>
  <si>
    <t>EL COPEYC.E. CORAZONES ABAJOSEDE ARIGUANI</t>
  </si>
  <si>
    <t>EL COPEYC.E. CORAZONES ABAJOSEDE PALMIRA</t>
  </si>
  <si>
    <t>EL COPEYC.E. CORAZONES ABAJOSEDE INDIGENA GUNKEY</t>
  </si>
  <si>
    <t>EL COPEYI.E. EL REPOSOSEDE SIMON GONZALES</t>
  </si>
  <si>
    <t>EL COPEYI.E. EL REPOSOSEDE NO TE PASES</t>
  </si>
  <si>
    <t>EL COPEYI.E. EL REPOSOSEDE LA ALDEA</t>
  </si>
  <si>
    <t>EL COPEYI.E. EL REPOSOSEDE EL PARAISO</t>
  </si>
  <si>
    <t>EL COPEYI.E. EL REPOSOSEDE SAN JORGE</t>
  </si>
  <si>
    <t>EL COPEYI.E. EL REPOSOSEDE LA ESTACION</t>
  </si>
  <si>
    <t>EL COPEYI.E. EL REPOSOSEDE LA GLORIA</t>
  </si>
  <si>
    <t>EL COPEYI.E. EL REPOSOSEDE JOSE ANTONIO GALAN</t>
  </si>
  <si>
    <t>EL COPEYI.E. EL REPOSOSEDE EL SALTILLO</t>
  </si>
  <si>
    <t xml:space="preserve">EL COPEYI.E. EL REPOSOSEDE LA VICTORIA DOS BOCAS </t>
  </si>
  <si>
    <t>EL COPEYI.E. EL REPOSOSEDE BELLA MARIA</t>
  </si>
  <si>
    <t>EL COPEYI.E. EL REPOSOI.E. EL REPOSO</t>
  </si>
  <si>
    <t>EL COPEYI.E. EL REPOSOSEDE LOS MILAGROS</t>
  </si>
  <si>
    <t>EL COPEYI.E. EL REPOSOSEDE EL COMUN</t>
  </si>
  <si>
    <t>EL COPEYI.E. EL REPOSOSEDE BELLA ESPERANZA</t>
  </si>
  <si>
    <t>EL COPEYI.E. EL REPOSOSEDE NUEVO MUNDO</t>
  </si>
  <si>
    <t>EL COPEYI.E. EL REPOSOSEDE LA LAGUNA</t>
  </si>
  <si>
    <t>EL COPEYI.E. EL REPOSOSEDE LA PAILA</t>
  </si>
  <si>
    <t>EL COPEYI.E. EL REPOSOSEDE EL ESFUERZO</t>
  </si>
  <si>
    <t>EL COPEYI.E. EL REPOSOSEDE SAN JOSE</t>
  </si>
  <si>
    <t>EL COPEYI.E. EL REPOSOSEDE SANTA RITA NO. 2</t>
  </si>
  <si>
    <t>EL COPEYI.E. EL REPOSOSEDE VILLA ANTONIA</t>
  </si>
  <si>
    <t>EL COPEYI.E. EL REPOSOSEDE LA PACHITA</t>
  </si>
  <si>
    <t>EL COPEYI.E. EL REPOSOSEDE NIÑO JESUS</t>
  </si>
  <si>
    <t>EL COPEYI.E. EL REPOSOSEDE LOS MANGOS</t>
  </si>
  <si>
    <t>EL COPEYI.E. EL REPOSOSEDE VILLA DEL ROSARIO</t>
  </si>
  <si>
    <t>LA GLORIAC.E. SAN PABLOSEDE BOQUERON</t>
  </si>
  <si>
    <t>LA GLORIAC.E. SAN PABLOSEDE EL PIÑON</t>
  </si>
  <si>
    <t>LA GLORIAC.E. SAN PABLOC.E. SAN PABLO</t>
  </si>
  <si>
    <t>LA GLORIAC.E. SAN PABLOSEDE LAS DAMAS</t>
  </si>
  <si>
    <t>LA GLORIAC.E. SAN PABLOSEDE LLANO CRUZADO</t>
  </si>
  <si>
    <t xml:space="preserve">LA GLORIAC.E. SAN PABLOSEDE CAÑO JUAN ALTO </t>
  </si>
  <si>
    <t>LA GLORIAC.E. SAN PABLOSEDE CAÑO JUAN MACITO (SEDE CAÑO GUAYABO)</t>
  </si>
  <si>
    <t>LA GLORIAC.E. SAN PABLOSEDE VILLA DE NEIRA</t>
  </si>
  <si>
    <t>LA GLORIAC.E. SAN PABLOSEDE LA VIRGEN</t>
  </si>
  <si>
    <t>LA JAGUA DE IBIRICOC.E. SAN ANTONIOSEDE LA TRINIDAD</t>
  </si>
  <si>
    <t>LA JAGUA DE IBIRICOC.E. SAN ANTONIOSEDE MARTIN EMILIO HERNANDEZ</t>
  </si>
  <si>
    <t>LA JAGUA DE IBIRICOC.E. SAN ANTONIOSEDE MANIZALES BAJO</t>
  </si>
  <si>
    <t>LA JAGUA DE IBIRICOC.E. SAN ANTONIOSEDE LA ESPERANZA</t>
  </si>
  <si>
    <t>LA JAGUA DE IBIRICOC.E. SAN ANTONIOSEDE CAMPO ALEGRE</t>
  </si>
  <si>
    <t>LA JAGUA DE IBIRICOC.E. SAN ANTONIOSEDE EL ZUMBADOR ALTO</t>
  </si>
  <si>
    <t>LA JAGUA DE IBIRICOC.E. SAN ANTONIOSEDE LA LUCHA</t>
  </si>
  <si>
    <t>LA JAGUA DE IBIRICOC.E. SAN ANTONIOSEDE LAS DELICIAS</t>
  </si>
  <si>
    <t>LA JAGUA DE IBIRICOC.E. SAN ANTONIOSEDE SORORIA ABAJO</t>
  </si>
  <si>
    <t>LA JAGUA DE IBIRICOC.E. SAN ANTONIOSEDE LA LIBERTAD</t>
  </si>
  <si>
    <t>LA JAGUA DE IBIRICOC.E. SAN ANTONIOSEDE ARACORAIMA</t>
  </si>
  <si>
    <t>LA JAGUA DE IBIRICOC.E. SAN ANTONIOSEDE LA CONQUISTA</t>
  </si>
  <si>
    <t>LA JAGUA DE IBIRICOC.E. SAN ANTONIOSEDE SAN ISIDRO</t>
  </si>
  <si>
    <t>LA JAGUA DE IBIRICOC.E. SAN ANTONIOSEDE ARGENTINA NORTE</t>
  </si>
  <si>
    <t>LA JAGUA DE IBIRICOC.E. SAN ANTONIOSEDE COSTA RICA</t>
  </si>
  <si>
    <t>LA JAGUA DE IBIRICOC.E. SAN ANTONIOC.E. SAN ANTONIO</t>
  </si>
  <si>
    <t>LA JAGUA DE IBIRICOC.E. SAN ANTONIOSEDE BUENOS AIRES</t>
  </si>
  <si>
    <t>LA JAGUA DE IBIRICOC.E. SAN ANTONIOSEDE EL CAUDALOSO</t>
  </si>
  <si>
    <t>LA JAGUA DE IBIRICOC.E. SAN ANTONIOSEDE EL ZUMBADOR BAJO</t>
  </si>
  <si>
    <t>LA JAGUA DE IBIRICOC.E. SAN ANTONIOSEDE MANIZALES ALTO</t>
  </si>
  <si>
    <t>LA JAGUA DE IBIRICOC.E. SAN ANTONIOSEDE DIVINO NIÑO</t>
  </si>
  <si>
    <t>LA JAGUA DE IBIRICOC.E. SAN ANTONIOSEDE LA ESMERALDA</t>
  </si>
  <si>
    <t>PAILITASC.E. RAYA GRANDESEDE CAÑO ARENAS</t>
  </si>
  <si>
    <t>PAILITASC.E. RAYA GRANDEC.E. RAYA GRANDE</t>
  </si>
  <si>
    <t>PAILITASC.E. RAYA GRANDESEDE EL TERROR</t>
  </si>
  <si>
    <t>PAILITASC.E. RAYA GRANDESEDE BOBALI N° 1</t>
  </si>
  <si>
    <t>PAILITASC.E. RAYA GRANDESEDE LAS LLAVES</t>
  </si>
  <si>
    <t>PAILITASC.E. RAYA GRANDESEDE LOS LLANOS</t>
  </si>
  <si>
    <t>PAILITASC.E. RAYA GRANDESEDE BARRO BLANCO N° 1</t>
  </si>
  <si>
    <t>PAILITASC.E. RAYA GRANDESEDE LA UNION</t>
  </si>
  <si>
    <t>PAILITASC.E. RAYA GRANDESEDE SINGARARE 1</t>
  </si>
  <si>
    <t>PAILITASC.E. RAYA GRANDESEDE LOS ANDES N° 1</t>
  </si>
  <si>
    <t>PAILITASC.E. RAYA GRANDESEDE LOS CORAZONES</t>
  </si>
  <si>
    <t>PELAYAC.E. BELLA VISTASEDE CARRIZAL</t>
  </si>
  <si>
    <t>PELAYAC.E. BELLA VISTASEDE RAICES ALTAS</t>
  </si>
  <si>
    <t>PELAYAC.E. BELLA VISTAC.E. BELLA VISTA</t>
  </si>
  <si>
    <t xml:space="preserve">PELAYAC.E. BELLA VISTASEDE LOS MANANTIALES </t>
  </si>
  <si>
    <t>PELAYAC.E. BELLA VISTASEDE SINGARARE III</t>
  </si>
  <si>
    <t>PELAYAC.E. BELLA VISTASEDE LA LEJIA</t>
  </si>
  <si>
    <t>PUEBLO BELLOC.E. MARQUETALIASEDE LA LIBERTAD</t>
  </si>
  <si>
    <t>PUEBLO BELLOC.E. MARQUETALIAC.E. MARQUETALIA</t>
  </si>
  <si>
    <t>PUEBLO BELLOC.E. MARQUETALIASEDE CUESTA PLATA</t>
  </si>
  <si>
    <t>PUEBLO BELLOC.E. MARQUETALIASEDE EL COROMBO</t>
  </si>
  <si>
    <t>PUEBLO BELLOC.E. MARQUETALIASEDE LAS MARIPOSAS 2</t>
  </si>
  <si>
    <t>PUEBLO BELLOC.E. MARQUETALIASEDE BELGICA</t>
  </si>
  <si>
    <t>PUEBLO BELLOC.E. MARQUETALIASEDE UNKMCHU</t>
  </si>
  <si>
    <t>PUEBLO BELLOC.E. MARQUETALIASEDE HORIZONTE</t>
  </si>
  <si>
    <t>PUEBLO BELLOC.E. MARQUETALIASEDE CUESTA PLATA 2</t>
  </si>
  <si>
    <t>RÍO DE OROC.E. EL BALCONSEDE LOS MEJICOS</t>
  </si>
  <si>
    <t>SAN ALBERTOC.E. MONTE NEGROSEDE MIRAMAR</t>
  </si>
  <si>
    <t>SAN ALBERTOC.E. MONTE NEGROSEDE PALMA REAL</t>
  </si>
  <si>
    <t>SAN ALBERTOC.E. MONTE NEGROSEDE 21 DE ABRIL</t>
  </si>
  <si>
    <t>SAN ALBERTOC.E. MONTE NEGROC.E. MONTE NEGRO</t>
  </si>
  <si>
    <t>SAN ALBERTOC.E. MONTE NEGROSEDE JESUS DE BELEN</t>
  </si>
  <si>
    <t>SAN ALBERTOC.E. MONTE NEGROSEDE MONTE NEGRO ALTO</t>
  </si>
  <si>
    <t>DANE SEDES</t>
  </si>
  <si>
    <t>Código Departamento</t>
  </si>
  <si>
    <t>Código Municipio</t>
  </si>
  <si>
    <t>Municipio</t>
  </si>
  <si>
    <t>Departamento</t>
  </si>
  <si>
    <t>MEDELLIN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</si>
  <si>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</si>
  <si>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</si>
  <si>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</si>
  <si>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</si>
  <si>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</si>
  <si>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</si>
  <si>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</si>
  <si>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</si>
  <si>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</si>
  <si>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</si>
  <si>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</si>
  <si>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</si>
  <si>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</si>
  <si>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</si>
  <si>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</si>
  <si>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</si>
  <si>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</si>
  <si>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</si>
  <si>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</si>
  <si>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</si>
  <si>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</si>
  <si>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</si>
  <si>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</si>
  <si>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</si>
  <si>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</si>
  <si>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</si>
  <si>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</si>
  <si>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</si>
  <si>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</si>
  <si>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</si>
  <si>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</si>
  <si>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</si>
  <si>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</si>
  <si>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</si>
  <si>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</si>
  <si>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</si>
  <si>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</si>
  <si>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</si>
  <si>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</si>
  <si>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</si>
  <si>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</si>
  <si>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</si>
  <si>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</si>
  <si>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</si>
  <si>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</si>
  <si>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</si>
  <si>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</si>
  <si>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</si>
  <si>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</si>
  <si>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</si>
  <si>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</si>
  <si>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</si>
  <si>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</si>
  <si>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</si>
  <si>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</si>
  <si>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</si>
  <si>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</si>
  <si>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</si>
  <si>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</si>
  <si>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</si>
  <si>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</si>
  <si>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</si>
  <si>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</si>
  <si>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</si>
  <si>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</si>
  <si>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</si>
  <si>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</si>
  <si>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</si>
  <si>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</si>
  <si>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</si>
  <si>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</si>
  <si>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</si>
  <si>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</si>
  <si>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</si>
  <si>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</si>
  <si>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PEÑOL</t>
  </si>
  <si>
    <t>PEQUE</t>
  </si>
  <si>
    <t>PUEBLORRICO</t>
  </si>
  <si>
    <t>PUERTO BERRIO</t>
  </si>
  <si>
    <t>PUERTO NARE (LA MAGDALENA)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</si>
  <si>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</si>
  <si>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</si>
  <si>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</si>
  <si>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</si>
  <si>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</si>
  <si>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</si>
  <si>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</si>
  <si>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</si>
  <si>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</si>
  <si>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</si>
  <si>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</si>
  <si>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</si>
  <si>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</si>
  <si>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</si>
  <si>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</si>
  <si>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</si>
  <si>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</si>
  <si>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</si>
  <si>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</si>
  <si>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</si>
  <si>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</si>
  <si>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</si>
  <si>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</si>
  <si>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</si>
  <si>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</si>
  <si>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</si>
  <si>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</si>
  <si>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</si>
  <si>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</si>
  <si>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</si>
  <si>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</si>
  <si>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</si>
  <si>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</si>
  <si>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</si>
  <si>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</si>
  <si>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</si>
  <si>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</si>
  <si>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</si>
  <si>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</si>
  <si>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</si>
  <si>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</si>
  <si>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</si>
  <si>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</si>
  <si>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</si>
  <si>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</si>
  <si>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</si>
  <si>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</si>
  <si>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</si>
  <si>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</si>
  <si>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</si>
  <si>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</si>
  <si>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</si>
  <si>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</si>
  <si>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</si>
  <si>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 NUEVO</t>
  </si>
  <si>
    <t>PONEDERA</t>
  </si>
  <si>
    <t>PUERTO COLOMBIA</t>
  </si>
  <si>
    <t>REPELON</t>
  </si>
  <si>
    <t>SABANAGRANDE</t>
  </si>
  <si>
    <t>SANTA LUCIA</t>
  </si>
  <si>
    <t>SANTO TOMAS</t>
  </si>
  <si>
    <t>SOLEDAD</t>
  </si>
  <si>
    <t>SUAN</t>
  </si>
  <si>
    <t>TUBARA</t>
  </si>
  <si>
    <t>USIACURI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</si>
  <si>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</si>
  <si>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</si>
  <si>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</si>
  <si>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</si>
  <si>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</si>
  <si>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</si>
  <si>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</si>
  <si>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</si>
  <si>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</si>
  <si>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</si>
  <si>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</si>
  <si>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</si>
  <si>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</si>
  <si>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</si>
  <si>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</si>
  <si>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</si>
  <si>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</si>
  <si>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</si>
  <si>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</si>
  <si>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</si>
  <si>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</si>
  <si>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</si>
  <si>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</si>
  <si>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</si>
  <si>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</si>
  <si>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</si>
  <si>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</si>
  <si>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</si>
  <si>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</si>
  <si>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</si>
  <si>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</si>
  <si>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</si>
  <si>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</si>
  <si>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</si>
  <si>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</si>
  <si>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</si>
  <si>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</si>
  <si>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</si>
  <si>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</si>
  <si>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 (PUERTO RICO)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</si>
  <si>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</si>
  <si>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</si>
  <si>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</si>
  <si>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</si>
  <si>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</si>
  <si>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</si>
  <si>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</si>
  <si>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</si>
  <si>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</si>
  <si>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</si>
  <si>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</si>
  <si>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</si>
  <si>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</si>
  <si>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</si>
  <si>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</si>
  <si>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</si>
  <si>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</si>
  <si>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</si>
  <si>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</si>
  <si>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</si>
  <si>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</si>
  <si>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</si>
  <si>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</si>
  <si>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</si>
  <si>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</si>
  <si>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</si>
  <si>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</si>
  <si>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</si>
  <si>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</si>
  <si>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</si>
  <si>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</si>
  <si>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</si>
  <si>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</si>
  <si>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</si>
  <si>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</si>
  <si>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</si>
  <si>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</si>
  <si>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</si>
  <si>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</si>
  <si>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</si>
  <si>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</si>
  <si>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</si>
  <si>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</si>
  <si>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</si>
  <si>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GUICAN</t>
  </si>
  <si>
    <t>IZA</t>
  </si>
  <si>
    <t>JENESANO</t>
  </si>
  <si>
    <t>LABRANZAGRANDE</t>
  </si>
  <si>
    <t>LA CAPILLA</t>
  </si>
  <si>
    <t>LA VICTORIA</t>
  </si>
  <si>
    <t>LA UVITA</t>
  </si>
  <si>
    <t>VILLA DE LEIVA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</si>
  <si>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</si>
  <si>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</si>
  <si>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</si>
  <si>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</si>
  <si>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</si>
  <si>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</si>
  <si>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</si>
  <si>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</si>
  <si>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</si>
  <si>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</si>
  <si>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</si>
  <si>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</si>
  <si>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</si>
  <si>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</si>
  <si>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</si>
  <si>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</si>
  <si>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</si>
  <si>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</si>
  <si>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</si>
  <si>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DEL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</si>
  <si>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</si>
  <si>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</si>
  <si>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</si>
  <si>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</si>
  <si>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</si>
  <si>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</si>
  <si>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</si>
  <si>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</si>
  <si>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</si>
  <si>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</si>
  <si>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</si>
  <si>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</si>
  <si>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</si>
  <si>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</si>
  <si>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</si>
  <si>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</si>
  <si>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</si>
  <si>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</si>
  <si>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</si>
  <si>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</si>
  <si>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</si>
  <si>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</si>
  <si>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</si>
  <si>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</si>
  <si>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</si>
  <si>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</si>
  <si>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</si>
  <si>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</si>
  <si>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</si>
  <si>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</si>
  <si>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</si>
  <si>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</si>
  <si>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</si>
  <si>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</si>
  <si>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</si>
  <si>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</si>
  <si>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</si>
  <si>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</si>
  <si>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</si>
  <si>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</si>
  <si>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</si>
  <si>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TOGUI</t>
  </si>
  <si>
    <t>TOPAGA</t>
  </si>
  <si>
    <t>TOTA</t>
  </si>
  <si>
    <t>TUNUNGUA</t>
  </si>
  <si>
    <t>TURMEQUE</t>
  </si>
  <si>
    <t>TUTA</t>
  </si>
  <si>
    <t>TUTASA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</si>
  <si>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</si>
  <si>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</si>
  <si>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</si>
  <si>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</si>
  <si>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</si>
  <si>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</si>
  <si>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</si>
  <si>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</si>
  <si>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</si>
  <si>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</si>
  <si>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</si>
  <si>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</si>
  <si>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</si>
  <si>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</si>
  <si>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</si>
  <si>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</si>
  <si>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</si>
  <si>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</si>
  <si>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</si>
  <si>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</si>
  <si>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</si>
  <si>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</si>
  <si>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</si>
  <si>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</si>
  <si>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</si>
  <si>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</si>
  <si>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</si>
  <si>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</si>
  <si>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</si>
  <si>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</si>
  <si>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</si>
  <si>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</si>
  <si>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</si>
  <si>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</si>
  <si>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</si>
  <si>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</si>
  <si>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</si>
  <si>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</si>
  <si>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</si>
  <si>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</si>
  <si>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</si>
  <si>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</si>
  <si>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 FRAGUA</t>
  </si>
  <si>
    <t>SOLANO</t>
  </si>
  <si>
    <t>SOLITA</t>
  </si>
  <si>
    <t>POPAYAN</t>
  </si>
  <si>
    <t>ALMAGUER</t>
  </si>
  <si>
    <t>BALBOA</t>
  </si>
  <si>
    <t>BUENOS AIRES</t>
  </si>
  <si>
    <t>CAJIBIO</t>
  </si>
  <si>
    <t>CALDONO</t>
  </si>
  <si>
    <t>CALOTO</t>
  </si>
  <si>
    <t>CORINTO</t>
  </si>
  <si>
    <t>EL TAMBO</t>
  </si>
  <si>
    <t>GUAPI</t>
  </si>
  <si>
    <t>INZA</t>
  </si>
  <si>
    <t>JAMBALO</t>
  </si>
  <si>
    <t>LA SIERRA</t>
  </si>
  <si>
    <t>LA VEGA</t>
  </si>
  <si>
    <t>LOPEZ (MICAY)</t>
  </si>
  <si>
    <t>MERCADERES</t>
  </si>
  <si>
    <t>MIRANDA</t>
  </si>
  <si>
    <t>PADILLA</t>
  </si>
  <si>
    <t>PAEZ (BELALCAZAR)</t>
  </si>
  <si>
    <t>PATIA (EL BORDO)</t>
  </si>
  <si>
    <t>PIAMONTE</t>
  </si>
  <si>
    <t>PIENDAMO</t>
  </si>
  <si>
    <t>PUERTO TEJADA</t>
  </si>
  <si>
    <t>PURACE (COCONUCO)</t>
  </si>
  <si>
    <t>ROSAS</t>
  </si>
  <si>
    <t>SAN SEBASTIAN</t>
  </si>
  <si>
    <t>SANTANDER DE QUILICHAO</t>
  </si>
  <si>
    <t>SILVIA</t>
  </si>
  <si>
    <t>SOTARA (PAISPAMBA)</t>
  </si>
  <si>
    <t>SUAREZ</t>
  </si>
  <si>
    <t>TIMBIO</t>
  </si>
  <si>
    <t>TIMBIQUI</t>
  </si>
  <si>
    <t>TORIBIO</t>
  </si>
  <si>
    <t>TOTORO</t>
  </si>
  <si>
    <t>VILLARICA</t>
  </si>
  <si>
    <t>VALLEDUPAR</t>
  </si>
  <si>
    <t>AGUSTIN CODAZZI</t>
  </si>
  <si>
    <t>BECERRIL</t>
  </si>
  <si>
    <t>CHIRIGUANA</t>
  </si>
  <si>
    <t>CURUMANI</t>
  </si>
  <si>
    <t>EL PASO</t>
  </si>
  <si>
    <t>GAMARRA</t>
  </si>
  <si>
    <t>GONZALEZ</t>
  </si>
  <si>
    <t>LA JAGUA IBIRICO</t>
  </si>
  <si>
    <t>MANAURE (BALCON DEL CESAR)</t>
  </si>
  <si>
    <t>RIO DE ORO</t>
  </si>
  <si>
    <t>LA PAZ (ROBLES)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</si>
  <si>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</si>
  <si>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</si>
  <si>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</si>
  <si>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</si>
  <si>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</si>
  <si>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</si>
  <si>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</si>
  <si>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</si>
  <si>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</si>
  <si>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</si>
  <si>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</si>
  <si>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</si>
  <si>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</si>
  <si>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</si>
  <si>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</si>
  <si>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</si>
  <si>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</si>
  <si>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</si>
  <si>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</si>
  <si>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</si>
  <si>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</si>
  <si>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</si>
  <si>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</si>
  <si>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</si>
  <si>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</si>
  <si>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</si>
  <si>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</si>
  <si>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</si>
  <si>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</si>
  <si>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</si>
  <si>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</si>
  <si>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</si>
  <si>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</si>
  <si>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</si>
  <si>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</si>
  <si>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</si>
  <si>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</si>
  <si>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</si>
  <si>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</si>
  <si>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</si>
  <si>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</si>
  <si>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</si>
  <si>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</si>
  <si>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</si>
  <si>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</si>
  <si>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</si>
  <si>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</si>
  <si>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</si>
  <si>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</si>
  <si>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</si>
  <si>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</si>
  <si>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</si>
  <si>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</si>
  <si>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</si>
  <si>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</si>
  <si>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</si>
  <si>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FUNZA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</si>
  <si>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</si>
  <si>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</si>
  <si>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</si>
  <si>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</si>
  <si>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</si>
  <si>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</si>
  <si>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</si>
  <si>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</si>
  <si>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</si>
  <si>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</si>
  <si>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</si>
  <si>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</si>
  <si>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</si>
  <si>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</si>
  <si>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</si>
  <si>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</si>
  <si>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</si>
  <si>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</si>
  <si>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</si>
  <si>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</si>
  <si>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</si>
  <si>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</si>
  <si>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</si>
  <si>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</si>
  <si>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</si>
  <si>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</si>
  <si>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</si>
  <si>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</si>
  <si>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</si>
  <si>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</si>
  <si>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</si>
  <si>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VENECIA (OSPINA PEREZ)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</si>
  <si>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</si>
  <si>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</si>
  <si>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</si>
  <si>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</si>
  <si>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</si>
  <si>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</si>
  <si>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</si>
  <si>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</si>
  <si>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</si>
  <si>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</si>
  <si>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 (RAFAEL REYES)</t>
  </si>
  <si>
    <t>RICAURTE</t>
  </si>
  <si>
    <t>SAN BERNARDO</t>
  </si>
  <si>
    <t>SAN CAYETANO</t>
  </si>
  <si>
    <t>SAN JUAN DE RIOSECO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</si>
  <si>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</si>
  <si>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</si>
  <si>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</si>
  <si>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</si>
  <si>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</si>
  <si>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</si>
  <si>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</si>
  <si>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</si>
  <si>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</si>
  <si>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</si>
  <si>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</si>
  <si>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</si>
  <si>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</si>
  <si>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</si>
  <si>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</si>
  <si>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</si>
  <si>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</si>
  <si>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</si>
  <si>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</si>
  <si>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</si>
  <si>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</si>
  <si>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</si>
  <si>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</si>
  <si>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</si>
  <si>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</si>
  <si>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</si>
  <si>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</si>
  <si>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</si>
  <si>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</si>
  <si>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</si>
  <si>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</si>
  <si>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</si>
  <si>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</si>
  <si>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</si>
  <si>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ZIPAQUIRA</t>
  </si>
  <si>
    <t>QUIBDO (SAN FRANCISCO DE QUIBDO)</t>
  </si>
  <si>
    <t>ACANDI</t>
  </si>
  <si>
    <t>ALTO BAUDO (PIE DE PATO)</t>
  </si>
  <si>
    <t>ATRATO</t>
  </si>
  <si>
    <t>BAGADO</t>
  </si>
  <si>
    <t>BAHIA SOLANO (MUTIS)</t>
  </si>
  <si>
    <t>BAJO BAUDO (PIZARRO)</t>
  </si>
  <si>
    <t>BOJAYA (BELLAVISTA)</t>
  </si>
  <si>
    <t>CANTON DE SAN PABLO (MANAGRU)</t>
  </si>
  <si>
    <t>CONDOTO</t>
  </si>
  <si>
    <t>EL CARMEN DE ATRATO</t>
  </si>
  <si>
    <t>LITORAL DEL BAJO SAN JUAN (SANTA GENOVEVA DE DOCORDO)</t>
  </si>
  <si>
    <t>ISTMINA</t>
  </si>
  <si>
    <t>JURADO</t>
  </si>
  <si>
    <t>LLORO</t>
  </si>
  <si>
    <t>MEDIO ATRATO</t>
  </si>
  <si>
    <t>MEDIO BAUDO</t>
  </si>
  <si>
    <t>NOVITA</t>
  </si>
  <si>
    <t>NUQUI</t>
  </si>
  <si>
    <t>RIOQUITO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</si>
  <si>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</si>
  <si>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</si>
  <si>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</si>
  <si>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</si>
  <si>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</si>
  <si>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</si>
  <si>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</si>
  <si>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</si>
  <si>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</si>
  <si>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</si>
  <si>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</si>
  <si>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</si>
  <si>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</si>
  <si>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</si>
  <si>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</si>
  <si>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</si>
  <si>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</si>
  <si>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</si>
  <si>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</si>
  <si>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 (SAN JOSE DE ISNOS)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</si>
  <si>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</si>
  <si>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</si>
  <si>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</si>
  <si>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</si>
  <si>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</si>
  <si>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</si>
  <si>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</si>
  <si>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</si>
  <si>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</si>
  <si>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</si>
  <si>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</si>
  <si>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</si>
  <si>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</si>
  <si>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</si>
  <si>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</si>
  <si>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</si>
  <si>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</si>
  <si>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</si>
  <si>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</si>
  <si>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</si>
  <si>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</si>
  <si>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</si>
  <si>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</si>
  <si>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</si>
  <si>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</si>
  <si>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</si>
  <si>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</si>
  <si>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</si>
  <si>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MANAURE</t>
  </si>
  <si>
    <t>SAN JUAN DEL CESAR</t>
  </si>
  <si>
    <t>URIBIA</t>
  </si>
  <si>
    <t>URUMITA</t>
  </si>
  <si>
    <t>ALGARROBO</t>
  </si>
  <si>
    <t>ARACATACA</t>
  </si>
  <si>
    <t>ARIGUANI (EL DIFICIL)</t>
  </si>
  <si>
    <t>CERRO SAN ANTONIO</t>
  </si>
  <si>
    <t>CHIVOLO</t>
  </si>
  <si>
    <t>CIENAGA</t>
  </si>
  <si>
    <t>EL BANCO</t>
  </si>
  <si>
    <t>EL PIÑON</t>
  </si>
  <si>
    <t>EL RETEN</t>
  </si>
  <si>
    <t>FUNDACION</t>
  </si>
  <si>
    <t>GUAMAL</t>
  </si>
  <si>
    <t>PEDRAZA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</si>
  <si>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</si>
  <si>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</si>
  <si>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</si>
  <si>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</si>
  <si>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</si>
  <si>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</si>
  <si>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</si>
  <si>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</si>
  <si>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SITIONUEVO</t>
  </si>
  <si>
    <t>TENERIFE</t>
  </si>
  <si>
    <t>VILLAVICENCIO</t>
  </si>
  <si>
    <t>ACACIAS</t>
  </si>
  <si>
    <t>BARRANCA DE UPIA</t>
  </si>
  <si>
    <t>CABUYARO</t>
  </si>
  <si>
    <t>CASTILLA LA NUEVA</t>
  </si>
  <si>
    <t>SAN LUIS DE 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</si>
  <si>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</si>
  <si>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</si>
  <si>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</si>
  <si>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</si>
  <si>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</si>
  <si>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</si>
  <si>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</si>
  <si>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</si>
  <si>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LA URIBE</t>
  </si>
  <si>
    <t>LEJANIAS</t>
  </si>
  <si>
    <t>PUERTO CONCORDIA</t>
  </si>
  <si>
    <t>PUERTO GAITAN</t>
  </si>
  <si>
    <t>PUERTO LOPEZ</t>
  </si>
  <si>
    <t>PUERTO LLERAS</t>
  </si>
  <si>
    <t>RESTREPO</t>
  </si>
  <si>
    <t>SAN CARLOS DE GUAROA</t>
  </si>
  <si>
    <t>SAN JUANITO</t>
  </si>
  <si>
    <t>VISTAHERMOSA</t>
  </si>
  <si>
    <t>ALBAN (SAN JOSE)</t>
  </si>
  <si>
    <t>ALDANA</t>
  </si>
  <si>
    <t>ANCUYA</t>
  </si>
  <si>
    <t>ARBOLEDA (BERRUECOS)</t>
  </si>
  <si>
    <t>BARBACOAS</t>
  </si>
  <si>
    <t>BUESACO</t>
  </si>
  <si>
    <t>COLON (GENOVA)</t>
  </si>
  <si>
    <t>CONSACA</t>
  </si>
  <si>
    <t>CONTADERO</t>
  </si>
  <si>
    <t>CUASPUD (CARLOSAMA)</t>
  </si>
  <si>
    <t>CUMBAL</t>
  </si>
  <si>
    <t>CUMBITARA</t>
  </si>
  <si>
    <t>CHACHAGUI</t>
  </si>
  <si>
    <t>EL CHARCO</t>
  </si>
  <si>
    <t>EL PEÑOL</t>
  </si>
  <si>
    <t>EL ROSARIO</t>
  </si>
  <si>
    <t>EL TABLON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</si>
  <si>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</si>
  <si>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</si>
  <si>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</si>
  <si>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</si>
  <si>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</si>
  <si>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</si>
  <si>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</si>
  <si>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</si>
  <si>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</si>
  <si>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</si>
  <si>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</si>
  <si>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</si>
  <si>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</si>
  <si>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 (SOTOMAYOR)</t>
  </si>
  <si>
    <t>MAGUI (PAYAN)</t>
  </si>
  <si>
    <t>MALLAMA (PIEDRANCHA)</t>
  </si>
  <si>
    <t>OLAYA HERRERA (BOCAS DE SATINGA)</t>
  </si>
  <si>
    <t>OSPINA</t>
  </si>
  <si>
    <t>FRANCISCO PIZARRO (SALAHONDA)</t>
  </si>
  <si>
    <t>POLICARPA</t>
  </si>
  <si>
    <t>POTOSI</t>
  </si>
  <si>
    <t>PROVIDENCIA</t>
  </si>
  <si>
    <t>PUERRES</t>
  </si>
  <si>
    <t>PUPIALES</t>
  </si>
  <si>
    <t>ROBERTO PAYAN (SAN JOSE)</t>
  </si>
  <si>
    <t>SAMANIEGO</t>
  </si>
  <si>
    <t>SANDONA</t>
  </si>
  <si>
    <t>SAN LORENZO</t>
  </si>
  <si>
    <t>SAN PEDRO DE CARTAGO</t>
  </si>
  <si>
    <t>SANTA CRUZ (GUACHAVES)</t>
  </si>
  <si>
    <t>SAPUYES</t>
  </si>
  <si>
    <t>TAMINANGO</t>
  </si>
  <si>
    <t>TANGUA</t>
  </si>
  <si>
    <t>TUMACO</t>
  </si>
  <si>
    <t>TUQUERRES</t>
  </si>
  <si>
    <t>YACUANQUER</t>
  </si>
  <si>
    <t>CUCUTA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</si>
  <si>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</si>
  <si>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</si>
  <si>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</si>
  <si>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</si>
  <si>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</si>
  <si>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</si>
  <si>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</si>
  <si>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</si>
  <si>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</si>
  <si>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</si>
  <si>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</si>
  <si>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</si>
  <si>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</si>
  <si>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</si>
  <si>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</si>
  <si>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</si>
  <si>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</si>
  <si>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</si>
  <si>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</si>
  <si>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</si>
  <si>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</si>
  <si>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</si>
  <si>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</si>
  <si>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</si>
  <si>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</si>
  <si>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</si>
  <si>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</si>
  <si>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</si>
  <si>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</si>
  <si>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</si>
  <si>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</si>
  <si>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</si>
  <si>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</si>
  <si>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</si>
  <si>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</si>
  <si>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</si>
  <si>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</si>
  <si>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</si>
  <si>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</si>
  <si>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</si>
  <si>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</si>
  <si>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</si>
  <si>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</si>
  <si>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</si>
  <si>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</si>
  <si>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</si>
  <si>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</si>
  <si>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</si>
  <si>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</si>
  <si>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 QUEBRADAS</t>
  </si>
  <si>
    <t>GUATICA</t>
  </si>
  <si>
    <t>LA CELIA</t>
  </si>
  <si>
    <t>LA VIRGINIA</t>
  </si>
  <si>
    <t>MARSELLA</t>
  </si>
  <si>
    <t>MISTRATO</t>
  </si>
  <si>
    <t>PUEBLO RICO</t>
  </si>
  <si>
    <t>QUINCHIA</t>
  </si>
  <si>
    <t>SANTA ROSA DE CABAL</t>
  </si>
  <si>
    <t>BUCARAMANGA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</si>
  <si>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</si>
  <si>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</si>
  <si>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</si>
  <si>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</si>
  <si>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</si>
  <si>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</si>
  <si>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</si>
  <si>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</si>
  <si>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</si>
  <si>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</si>
  <si>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</si>
  <si>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</si>
  <si>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</si>
  <si>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</si>
  <si>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</si>
  <si>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</si>
  <si>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</si>
  <si>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CHUCURY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</si>
  <si>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</si>
  <si>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</si>
  <si>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</si>
  <si>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</si>
  <si>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</si>
  <si>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</si>
  <si>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</si>
  <si>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</si>
  <si>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</si>
  <si>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</si>
  <si>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</si>
  <si>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</si>
  <si>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GUEPSA</t>
  </si>
  <si>
    <t>HATO</t>
  </si>
  <si>
    <t>JESUS MARIA</t>
  </si>
  <si>
    <t>JORDAN</t>
  </si>
  <si>
    <t>LA BELLEZA</t>
  </si>
  <si>
    <t>LANDAZURI</t>
  </si>
  <si>
    <t>LA PAZ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</si>
  <si>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</si>
  <si>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</si>
  <si>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</si>
  <si>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</si>
  <si>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</si>
  <si>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</si>
  <si>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</si>
  <si>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</si>
  <si>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</si>
  <si>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</si>
  <si>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</si>
  <si>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</si>
  <si>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</si>
  <si>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</si>
  <si>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</si>
  <si>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</si>
  <si>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</si>
  <si>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</si>
  <si>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</si>
  <si>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</si>
  <si>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</si>
  <si>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</si>
  <si>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</si>
  <si>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</si>
  <si>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</si>
  <si>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</si>
  <si>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</si>
  <si>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</si>
  <si>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</si>
  <si>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SUCRE</t>
  </si>
  <si>
    <t>SURATA</t>
  </si>
  <si>
    <t>TONA</t>
  </si>
  <si>
    <t>VALLE SAN JOSE</t>
  </si>
  <si>
    <t>VELEZ</t>
  </si>
  <si>
    <t>VETAS</t>
  </si>
  <si>
    <t>ZAPATOCA</t>
  </si>
  <si>
    <t>SINCELEJO</t>
  </si>
  <si>
    <t>CAIMITO</t>
  </si>
  <si>
    <t>COLOSO (RICAURTE)</t>
  </si>
  <si>
    <t>COROZAL</t>
  </si>
  <si>
    <t>CHALAN</t>
  </si>
  <si>
    <t>GALERAS (NUEVA GRANADA)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</si>
  <si>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</si>
  <si>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</si>
  <si>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</si>
  <si>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</si>
  <si>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</si>
  <si>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</si>
  <si>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</si>
  <si>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</si>
  <si>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</si>
  <si>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</si>
  <si>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</si>
  <si>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SINCE</t>
  </si>
  <si>
    <t>TOLU</t>
  </si>
  <si>
    <t>TOLUVIEJO</t>
  </si>
  <si>
    <t>IBAGUE</t>
  </si>
  <si>
    <t>ALPUJARRA</t>
  </si>
  <si>
    <t>ALVARADO</t>
  </si>
  <si>
    <t>AMBALEMA</t>
  </si>
  <si>
    <t>ANZOATEGUI</t>
  </si>
  <si>
    <t>ARMERO (GUAYABAL)</t>
  </si>
  <si>
    <t>ATACO</t>
  </si>
  <si>
    <t>CAJAMARCA</t>
  </si>
  <si>
    <t>CARMEN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</si>
  <si>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</si>
  <si>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</si>
  <si>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</si>
  <si>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</si>
  <si>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</si>
  <si>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</si>
  <si>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</si>
  <si>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</si>
  <si>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</si>
  <si>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</si>
  <si>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</si>
  <si>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</si>
  <si>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</si>
  <si>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</si>
  <si>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</si>
  <si>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</si>
  <si>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</si>
  <si>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</si>
  <si>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</si>
  <si>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</si>
  <si>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</si>
  <si>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</si>
  <si>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</si>
  <si>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</si>
  <si>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</si>
  <si>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</si>
  <si>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</si>
  <si>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</si>
  <si>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</si>
  <si>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</si>
  <si>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 ANTONIO</t>
  </si>
  <si>
    <t>SANTA ISABEL</t>
  </si>
  <si>
    <t>VALLE DE SAN JUAN</t>
  </si>
  <si>
    <t>VENADILLO</t>
  </si>
  <si>
    <t>VILLAHERMOSA</t>
  </si>
  <si>
    <t>VILLARRICA</t>
  </si>
  <si>
    <t>CALI (SANTIAGO DE CALI)</t>
  </si>
  <si>
    <t>ALCALA</t>
  </si>
  <si>
    <t>ANDALUCIA</t>
  </si>
  <si>
    <t>ANSERMANUEVO</t>
  </si>
  <si>
    <t>BUENAVENTURA</t>
  </si>
  <si>
    <t>BUGA</t>
  </si>
  <si>
    <t>BUGALAGRANDE</t>
  </si>
  <si>
    <t>CAICEDONIA</t>
  </si>
  <si>
    <t>CALIMA (DARIEN)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</si>
  <si>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</si>
  <si>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</si>
  <si>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</si>
  <si>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</si>
  <si>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</si>
  <si>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</si>
  <si>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</si>
  <si>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</si>
  <si>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</si>
  <si>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</si>
  <si>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</si>
  <si>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</si>
  <si>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</si>
  <si>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</si>
  <si>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</si>
  <si>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</si>
  <si>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</si>
  <si>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</si>
  <si>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</si>
  <si>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</si>
  <si>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</si>
  <si>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</si>
  <si>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</si>
  <si>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</si>
  <si>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</si>
  <si>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</si>
  <si>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</si>
  <si>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</si>
  <si>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</si>
  <si>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</si>
  <si>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</si>
  <si>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</si>
  <si>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</si>
  <si>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</si>
  <si>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</si>
  <si>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</si>
  <si>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</si>
  <si>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</si>
  <si>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</si>
  <si>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</si>
  <si>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</si>
  <si>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</si>
  <si>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</si>
  <si>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</si>
  <si>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</si>
  <si>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</si>
  <si>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</si>
  <si>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</si>
  <si>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</si>
  <si>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</si>
  <si>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</si>
  <si>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COLON</t>
  </si>
  <si>
    <t>ORITO</t>
  </si>
  <si>
    <t>PUERTO ASIS</t>
  </si>
  <si>
    <t>PUERTO CAICEDO</t>
  </si>
  <si>
    <t>PUERTO GUZMAN</t>
  </si>
  <si>
    <t>PUERTO LEGUIZAMO</t>
  </si>
  <si>
    <t>SIBUNDOY</t>
  </si>
  <si>
    <t>SAN MIGUEL (LA DORADA)</t>
  </si>
  <si>
    <t>LA HORMIGA (VALLE DEL GUAMUEZ)</t>
  </si>
  <si>
    <t>VILLAGARZON</t>
  </si>
  <si>
    <t>LETICIA</t>
  </si>
  <si>
    <t>EL ENCANTO</t>
  </si>
  <si>
    <t>LA CHORRERA</t>
  </si>
  <si>
    <t>LA PEDRERA</t>
  </si>
  <si>
    <t>MIRITI-PARANA</t>
  </si>
  <si>
    <t>PUERTO ALEGRIA</t>
  </si>
  <si>
    <t>PUERTO ARICA</t>
  </si>
  <si>
    <t>PUERTO NARIÑO</t>
  </si>
  <si>
    <t>TARAPACA</t>
  </si>
  <si>
    <t>PUERTO INIRIDA</t>
  </si>
  <si>
    <t>BARRANCO MINAS</t>
  </si>
  <si>
    <t>SAN FELIPE</t>
  </si>
  <si>
    <t>LA GUADALUPE</t>
  </si>
  <si>
    <t>CACAHUAL</t>
  </si>
  <si>
    <t>PANA PANA (CAMPO ALEGRE)</t>
  </si>
  <si>
    <t>SAN JOSE DEL GUAVIARE</t>
  </si>
  <si>
    <t>EL RETORNO</t>
  </si>
  <si>
    <t>MITU</t>
  </si>
  <si>
    <t>CARURU</t>
  </si>
  <si>
    <t>PACOA</t>
  </si>
  <si>
    <t>TARAIRA</t>
  </si>
  <si>
    <t>PAPUNAUA (MORICHAL)</t>
  </si>
  <si>
    <t>YAVARATE</t>
  </si>
  <si>
    <t>PUERTO CARREÑO</t>
  </si>
  <si>
    <t>LA PRIMAVERA</t>
  </si>
  <si>
    <t>SANTA RITA</t>
  </si>
  <si>
    <t>SANTA ROSALIA</t>
  </si>
  <si>
    <t>SAN JOSE DE OCUNE</t>
  </si>
  <si>
    <t>CUMARIBO</t>
  </si>
  <si>
    <t>SAN  VICENTE DEL CAGUAN</t>
  </si>
  <si>
    <t>SAN  JUAN DE ARAMA</t>
  </si>
  <si>
    <t>LISTA DESPLEGABLES DEPTO</t>
  </si>
  <si>
    <t>ATLANTICO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</si>
  <si>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</si>
  <si>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</si>
  <si>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</si>
  <si>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</si>
  <si>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</si>
  <si>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</si>
  <si>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</si>
  <si>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</si>
  <si>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</si>
  <si>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QUINDIO</t>
  </si>
  <si>
    <t>SANTANDER</t>
  </si>
  <si>
    <t>TOLIMA</t>
  </si>
  <si>
    <t>VALLE</t>
  </si>
  <si>
    <t>CASANARE</t>
  </si>
  <si>
    <t>PUTUMAYO</t>
  </si>
  <si>
    <t>AMAZONAS</t>
  </si>
  <si>
    <t>GUAINIA</t>
  </si>
  <si>
    <t>GUAVIARE</t>
  </si>
  <si>
    <t>VAUPES</t>
  </si>
  <si>
    <t>VICHADA</t>
  </si>
  <si>
    <t>NORTE_DE_SANTANDER</t>
  </si>
  <si>
    <t>PIJIÑO DEL CARMEN</t>
  </si>
  <si>
    <t xml:space="preserve">BARRANQUILLA </t>
  </si>
  <si>
    <t>CARTAGENA</t>
  </si>
  <si>
    <t>SAN  ANTONIO DEL TEQUENDAMA</t>
  </si>
  <si>
    <t xml:space="preserve">SANTA MARTA </t>
  </si>
  <si>
    <t>PASTO</t>
  </si>
  <si>
    <t xml:space="preserve">MORICHAL </t>
  </si>
  <si>
    <t>BOGOTA D.C</t>
  </si>
  <si>
    <t>VALLE_DEL_CAUCA</t>
  </si>
  <si>
    <t>LA_GUAJIRA</t>
  </si>
  <si>
    <t>BOGOTÁ</t>
  </si>
  <si>
    <t>SANTA FE DE BOGOTA, D. C.</t>
  </si>
  <si>
    <t>BOGOTA</t>
  </si>
  <si>
    <t>USAQUEN</t>
  </si>
  <si>
    <t>CHAPINERO</t>
  </si>
  <si>
    <t>SANTA FE</t>
  </si>
  <si>
    <t>USME</t>
  </si>
  <si>
    <t>TUNJUELITO</t>
  </si>
  <si>
    <t>BOSA</t>
  </si>
  <si>
    <t>KENNEDY</t>
  </si>
  <si>
    <t>FONTIBON</t>
  </si>
  <si>
    <t>ENGATIVA</t>
  </si>
  <si>
    <t>SUBA</t>
  </si>
  <si>
    <t>BARRIOS UNIDOS</t>
  </si>
  <si>
    <t>TEUSAQUILLO</t>
  </si>
  <si>
    <t>MARTIRES</t>
  </si>
  <si>
    <t>ANTONIO NARIÑO</t>
  </si>
  <si>
    <t>PUENTE ARANDA</t>
  </si>
  <si>
    <t>RAFAEL URIBE</t>
  </si>
  <si>
    <t>CIUDAD BOLIVAR</t>
  </si>
  <si>
    <t>SUMAPAZ</t>
  </si>
  <si>
    <t>TIPO DOC</t>
  </si>
  <si>
    <t>DEPTO EXP DOC</t>
  </si>
  <si>
    <t>MUN EXP DOC</t>
  </si>
  <si>
    <t>TRANSICIÓN</t>
  </si>
  <si>
    <t>DEPTO NAC</t>
  </si>
  <si>
    <t>MUN NAC</t>
  </si>
  <si>
    <t>DEPTO RESID</t>
  </si>
  <si>
    <t>MUN RESIDEN</t>
  </si>
  <si>
    <t>SORDERA PROFUNDA</t>
  </si>
  <si>
    <t>HIPOACUSIA O BAJA AUDICIÓN</t>
  </si>
  <si>
    <t>BAJA VISIÓN DIAGNOSTICADA</t>
  </si>
  <si>
    <t>CEGUERA</t>
  </si>
  <si>
    <t>PARÁLISIS CEREBRAL</t>
  </si>
  <si>
    <t>LESIÓN NEUROMUSCULAR</t>
  </si>
  <si>
    <t>AUTISMO</t>
  </si>
  <si>
    <t>DEFICIENCIA COGNITIVA (RETARDO MENTAL)</t>
  </si>
  <si>
    <t>SÍNDROME DE DOWN</t>
  </si>
  <si>
    <t>MÚLTIPLE</t>
  </si>
  <si>
    <t>NO APLICA</t>
  </si>
  <si>
    <t>TIPO DISC</t>
  </si>
  <si>
    <t>Contrato para la Promoción e Implementación de Estrategias de Desarrollo Pedagógico AÑO 2019</t>
  </si>
  <si>
    <t>TIPO DOCUMENTO</t>
  </si>
  <si>
    <t>ANEXO 6A MATRICULA 2019</t>
  </si>
  <si>
    <t>P. SECTOR 
PRIVADO</t>
  </si>
  <si>
    <t>SUPERDOTADO</t>
  </si>
  <si>
    <t>CON TALENTO CIENTÍFICO</t>
  </si>
  <si>
    <t>CON TALENTO TECNOLÓGICO</t>
  </si>
  <si>
    <t>CON TALENTO SUBJETIVO</t>
  </si>
  <si>
    <t>CAP EXC</t>
  </si>
  <si>
    <t>ESTABLECIMIENTO EDUCATIVO:</t>
  </si>
  <si>
    <t>NOMBRE DEL DOCENTE:</t>
  </si>
  <si>
    <t>SI ACAD ANT</t>
  </si>
  <si>
    <t>MUNICIPIO:</t>
  </si>
  <si>
    <t>NOMBRE DEL DIRECTOR:</t>
  </si>
  <si>
    <t>TIPO_DOC</t>
  </si>
  <si>
    <t>NUM DOC</t>
  </si>
  <si>
    <t>EXP DEPTO</t>
  </si>
  <si>
    <t>EXP MUN</t>
  </si>
  <si>
    <t>PEP</t>
  </si>
  <si>
    <t>FIRMA DEL DIRECTOR:</t>
  </si>
  <si>
    <t>TIPO 
DISCAPACIDAD</t>
  </si>
  <si>
    <t>SIT ACAD AÑO ANTERIOR</t>
  </si>
  <si>
    <t>CON ALUMNO 
AÑO ANT</t>
  </si>
  <si>
    <t>O +</t>
  </si>
  <si>
    <t>O -</t>
  </si>
  <si>
    <t>A +</t>
  </si>
  <si>
    <t>A -</t>
  </si>
  <si>
    <t>B +</t>
  </si>
  <si>
    <t>B -</t>
  </si>
  <si>
    <t>AB +</t>
  </si>
  <si>
    <t>AB -</t>
  </si>
  <si>
    <t>Código</t>
  </si>
  <si>
    <t>ABEJERO</t>
  </si>
  <si>
    <t>ADUCHE</t>
  </si>
  <si>
    <t>AFILADOR-CAMPOALEGRE (conv)</t>
  </si>
  <si>
    <t>AGUA CLARA-BELLALUZ</t>
  </si>
  <si>
    <t>AGUA NEGRA</t>
  </si>
  <si>
    <t>AGUANEGRA</t>
  </si>
  <si>
    <t>AGUAS NEGRAS</t>
  </si>
  <si>
    <t xml:space="preserve">AICO  </t>
  </si>
  <si>
    <t xml:space="preserve">ALDANA  </t>
  </si>
  <si>
    <t>ALMIDON LA CEIBA</t>
  </si>
  <si>
    <t>ALMORZADERO, SAN ISIDRO, Y LA NUEVA UNION</t>
  </si>
  <si>
    <t>ALTA Y MEDIA GUAJIRA (amp)</t>
  </si>
  <si>
    <t>ALTO BONITO VIRA VIRA</t>
  </si>
  <si>
    <t>ALTO CARTAGENA</t>
  </si>
  <si>
    <t>ALTO DEL REY</t>
  </si>
  <si>
    <t>ALTO RIO BOJAYA</t>
  </si>
  <si>
    <t>ALTO RIO BUEY</t>
  </si>
  <si>
    <t>ALTO RIO CUIA</t>
  </si>
  <si>
    <t>ALTO RIO TAGACHI</t>
  </si>
  <si>
    <t>ALTO SINU(KARAGAVI E IWAGADO)</t>
  </si>
  <si>
    <t>ALTOMIRA</t>
  </si>
  <si>
    <t>AMAYARCO</t>
  </si>
  <si>
    <t>AMBALO</t>
  </si>
  <si>
    <t>AME</t>
  </si>
  <si>
    <t>AMPARRADO-ALTO-MEDIO Y QUEBRADA CHONTADURO</t>
  </si>
  <si>
    <t>ANACARCO</t>
  </si>
  <si>
    <t>ANDABU</t>
  </si>
  <si>
    <t>APONTE</t>
  </si>
  <si>
    <t>ARARA</t>
  </si>
  <si>
    <t>ARHUACO DE LA SIERRA</t>
  </si>
  <si>
    <t>ARQUIA</t>
  </si>
  <si>
    <t>ARRECIFAL</t>
  </si>
  <si>
    <t>ATANA-PIRARIAMI</t>
  </si>
  <si>
    <t>AVIRAMA</t>
  </si>
  <si>
    <t>AWA DEL ALTO ALBI</t>
  </si>
  <si>
    <t>AWALIBA (ABARIBA)</t>
  </si>
  <si>
    <t xml:space="preserve">BACATI-ARARA </t>
  </si>
  <si>
    <t>BACHACO BUENAVISTA</t>
  </si>
  <si>
    <t>BACHE</t>
  </si>
  <si>
    <t>BAJO GRANDE</t>
  </si>
  <si>
    <t>BAJO RIO GUAINIA Y RIO NEGRO</t>
  </si>
  <si>
    <t>BAJO VICHADA (SANTA RITA)</t>
  </si>
  <si>
    <t>BARRANCO CEIBA-LAGUNA ARAGUATO</t>
  </si>
  <si>
    <t>BARRANCO COLORADO</t>
  </si>
  <si>
    <t>BARRANCON</t>
  </si>
  <si>
    <t>BARRANQUILLITA</t>
  </si>
  <si>
    <t>BARRANQUITO LAGUNA COLORADA</t>
  </si>
  <si>
    <t>BARZALOZA</t>
  </si>
  <si>
    <t>BATEAS</t>
  </si>
  <si>
    <t>BAYONEROS</t>
  </si>
  <si>
    <t>BELLAVISTA-UNION PITALITO</t>
  </si>
  <si>
    <t>BERROCAL-AMAPO-P.ESCONDIDO</t>
  </si>
  <si>
    <t>BETE-AURO BETE,AURO DEL BUEY</t>
  </si>
  <si>
    <t>BOCHOROMA-BOCHOROMACITO</t>
  </si>
  <si>
    <t>BUCHADO-AMPARRADO</t>
  </si>
  <si>
    <t>BURUJON-LA UNION S BERNARDO</t>
  </si>
  <si>
    <t>BUSINCHAMA</t>
  </si>
  <si>
    <t>CABECERAS</t>
  </si>
  <si>
    <t>CACHIVERA DE NARE</t>
  </si>
  <si>
    <t>CAICEMAPA</t>
  </si>
  <si>
    <t xml:space="preserve">CAIMAN NUEVO (amp) </t>
  </si>
  <si>
    <t>CAIMANERO DE JAMPAPA</t>
  </si>
  <si>
    <t>CAJAROS</t>
  </si>
  <si>
    <t>CALDERAS</t>
  </si>
  <si>
    <t>CALENTURAS</t>
  </si>
  <si>
    <t>CALLE SANTA ROSA - RIO SAIJA</t>
  </si>
  <si>
    <t>CAMARITAGUA</t>
  </si>
  <si>
    <t xml:space="preserve">CAMPOALEGRE </t>
  </si>
  <si>
    <t>CAMPOALEGRE-RIPIALITO</t>
  </si>
  <si>
    <t>CAÑAMOMO-LOMAPRIETA</t>
  </si>
  <si>
    <t>CANANAMA</t>
  </si>
  <si>
    <t>CAÑAVERALES-ANTADO</t>
  </si>
  <si>
    <t>CAÑO BACHACO</t>
  </si>
  <si>
    <t>CAÑO BOCON BRAZO AMANAVEN</t>
  </si>
  <si>
    <t>CAÑO CAVASI</t>
  </si>
  <si>
    <t>CAÑO CLARO</t>
  </si>
  <si>
    <t>CAÑO GUARIPA</t>
  </si>
  <si>
    <t>CAÑO HORMIGA</t>
  </si>
  <si>
    <t xml:space="preserve">CAÑO JABON </t>
  </si>
  <si>
    <t>CAÑO MESETAS-DAGUA</t>
  </si>
  <si>
    <t>CAÑO MOCHUELO-HATO COROZAL</t>
  </si>
  <si>
    <t>CAÑO NEGRO</t>
  </si>
  <si>
    <t xml:space="preserve">CAÑO OVEJAS </t>
  </si>
  <si>
    <t>CAÑO PADILLA</t>
  </si>
  <si>
    <t>CAÑO ZAMA</t>
  </si>
  <si>
    <t>CANOAS</t>
  </si>
  <si>
    <t>CAÑON RIO SAN QUININI</t>
  </si>
  <si>
    <t>CAQUIONA</t>
  </si>
  <si>
    <t>CARANACOA YURI LAGUNA MOROCOTO</t>
  </si>
  <si>
    <t>CARLOSAMA</t>
  </si>
  <si>
    <t>CARPINTERO-PALOMAS</t>
  </si>
  <si>
    <t>CARRIZAL</t>
  </si>
  <si>
    <t>CASTILLA - ANGOSTURAS</t>
  </si>
  <si>
    <t>CECILIA COCHA</t>
  </si>
  <si>
    <t>CERRO DE HATONUEVO</t>
  </si>
  <si>
    <t>CERRODEO</t>
  </si>
  <si>
    <t>CHACHAJO</t>
  </si>
  <si>
    <t>CHAGPIEN-TORDO</t>
  </si>
  <si>
    <t>CHAGÜI,CHIMBUZA,VEGAS, SAN ANTONIO,OTROS</t>
  </si>
  <si>
    <t>CHALUAYACO</t>
  </si>
  <si>
    <t xml:space="preserve">CHAPARRAL Y BARRO NEGRO </t>
  </si>
  <si>
    <t>CHAQUENODA</t>
  </si>
  <si>
    <t>CHAQUIRA</t>
  </si>
  <si>
    <t>CHARCO CAIMAN</t>
  </si>
  <si>
    <t>CHENCHE BUENOS AIRES INDEPENDIENTE</t>
  </si>
  <si>
    <t>CHENCHE BUENOS AIRES TRADICIONAL</t>
  </si>
  <si>
    <t>CHENCHE MEDIA LUNA</t>
  </si>
  <si>
    <t>CHENCHE-SOCORRO-LOS GUAYABOS</t>
  </si>
  <si>
    <t>CHIDIMA TOLO</t>
  </si>
  <si>
    <t>CHIGÜIRO</t>
  </si>
  <si>
    <t>CHILES</t>
  </si>
  <si>
    <t>CHIMBORAZO</t>
  </si>
  <si>
    <t>CHIMILA DE SAN ANGEL</t>
  </si>
  <si>
    <t>CHIMURRO-NENDO</t>
  </si>
  <si>
    <t>CHINAS</t>
  </si>
  <si>
    <t>CHIQUE-RIO TANGUI</t>
  </si>
  <si>
    <t>CHOCON</t>
  </si>
  <si>
    <t>CHOLOLOBO-MATATU</t>
  </si>
  <si>
    <t>CHONTADURAL-CAÑERO</t>
  </si>
  <si>
    <t>CHOROMANDO ALTO Y MEDIO</t>
  </si>
  <si>
    <t>CHUSCAL-TUGURIDOCITO</t>
  </si>
  <si>
    <t>CIBARIZA</t>
  </si>
  <si>
    <t>COAYARE EL COCO</t>
  </si>
  <si>
    <t>COCONUCO</t>
  </si>
  <si>
    <t>COHETANDO</t>
  </si>
  <si>
    <t>COLIMBA</t>
  </si>
  <si>
    <t>COMEYAFU</t>
  </si>
  <si>
    <t>CONSARA-MECAYA</t>
  </si>
  <si>
    <t xml:space="preserve">COPEG DEL RIO INGARA </t>
  </si>
  <si>
    <t>CORDOBA (MALES)</t>
  </si>
  <si>
    <t>COROCORO</t>
  </si>
  <si>
    <t>COROPOYA</t>
  </si>
  <si>
    <t>COROZAL TAPAOJO</t>
  </si>
  <si>
    <t>COTHUE-PUTUMAYO</t>
  </si>
  <si>
    <t>CRISTIANIA</t>
  </si>
  <si>
    <t>CRISTIANIA (Reestructurado)</t>
  </si>
  <si>
    <t>CUAIQUER INTEGRADO LA MILAGROSA</t>
  </si>
  <si>
    <t>CUASBIL-LA FALDADA</t>
  </si>
  <si>
    <t>CUASCUABI-PALDUBI</t>
  </si>
  <si>
    <t>CUATRO DE NOVIEMBRE</t>
  </si>
  <si>
    <t>CUCHILLA-PALMAR</t>
  </si>
  <si>
    <t>CUENCA MEDIA Y ALTA RIO INIRIDA</t>
  </si>
  <si>
    <t>CUERAZO</t>
  </si>
  <si>
    <t>CUILOTO II</t>
  </si>
  <si>
    <t>CUMARAL  BRAZO AMANAVEN</t>
  </si>
  <si>
    <t>CUMARAL, GUAMUCO</t>
  </si>
  <si>
    <t>CUNA-TSEPAJIBO-WARRACAÑA</t>
  </si>
  <si>
    <t>CURARE-LOS INGLESES</t>
  </si>
  <si>
    <t>CUSAY-LA COLORADA</t>
  </si>
  <si>
    <t>CUSUMBE-AGUA BLANCA</t>
  </si>
  <si>
    <t>CUTI</t>
  </si>
  <si>
    <t>DACHI DRUA CHAMI</t>
  </si>
  <si>
    <t>DACHI DRUA MUNDI</t>
  </si>
  <si>
    <t>DEARADE - BIAKIRUDE</t>
  </si>
  <si>
    <t>DIAMANTE</t>
  </si>
  <si>
    <t>DOCORDO-BALSALITO</t>
  </si>
  <si>
    <t>DOKERAZAVI</t>
  </si>
  <si>
    <t>DOMINICO-LONDOÑO-PARTADO</t>
  </si>
  <si>
    <t>DOMO PLANAS (SAN RAFAEL)</t>
  </si>
  <si>
    <t>DOXURA</t>
  </si>
  <si>
    <t>DRUA DO (PORTALES DEL RIO)</t>
  </si>
  <si>
    <t>EGUA-GUARIACANA</t>
  </si>
  <si>
    <t>EL CEDRITO</t>
  </si>
  <si>
    <t>EL CEDRO,LAS PEÑAS,LA BRAVA,PILVI,LA</t>
  </si>
  <si>
    <t xml:space="preserve">EL CONSEJO  </t>
  </si>
  <si>
    <t>EL DESCANSE</t>
  </si>
  <si>
    <t>EL DESCANSO</t>
  </si>
  <si>
    <t>EL DIAMANTE</t>
  </si>
  <si>
    <t>EL DOCE-QUEBRADA BORBOLLON</t>
  </si>
  <si>
    <t xml:space="preserve">EL DUYA  </t>
  </si>
  <si>
    <t>EL GRAN SABALO</t>
  </si>
  <si>
    <t>EL GUAYABAL</t>
  </si>
  <si>
    <t>EL HACHA</t>
  </si>
  <si>
    <t>EL ITILLA</t>
  </si>
  <si>
    <t xml:space="preserve">EL MEDANO  </t>
  </si>
  <si>
    <t>EL PIÑAL</t>
  </si>
  <si>
    <t>EL PORTAL</t>
  </si>
  <si>
    <t>EL PROGRESO</t>
  </si>
  <si>
    <t>EL QUINCE</t>
  </si>
  <si>
    <t>EL REFUGIO</t>
  </si>
  <si>
    <t>EL ROSARIO-BELLAVISTA-YUCATAN</t>
  </si>
  <si>
    <t xml:space="preserve">EL SALADILLO  </t>
  </si>
  <si>
    <t>EL SALADO</t>
  </si>
  <si>
    <t>EL SANDE</t>
  </si>
  <si>
    <t xml:space="preserve">EL SUSPIRO  </t>
  </si>
  <si>
    <t>EL TABLERO</t>
  </si>
  <si>
    <t>EL TIGRE</t>
  </si>
  <si>
    <t>EL TRIUNFO</t>
  </si>
  <si>
    <t>EL TRIUNFO-CRISTAL  PAEZ</t>
  </si>
  <si>
    <t>EL TURPIAL</t>
  </si>
  <si>
    <t>EL UNUMA</t>
  </si>
  <si>
    <t>EL UNUMA (Parte)</t>
  </si>
  <si>
    <t>EL VEINTE PLAYA ALTA Y EL NOVENTA (amp)</t>
  </si>
  <si>
    <t>EL VEINTIUNO</t>
  </si>
  <si>
    <t>EL VENADO</t>
  </si>
  <si>
    <t>EL VERGEL</t>
  </si>
  <si>
    <t xml:space="preserve">EL VIGIA </t>
  </si>
  <si>
    <t>EL VOLAO</t>
  </si>
  <si>
    <t>EL ZAHINO GUAYABITO MURIAYTUY</t>
  </si>
  <si>
    <t>EL ZAMURO</t>
  </si>
  <si>
    <t>FLORES-SOMBRERO</t>
  </si>
  <si>
    <t>GABARRA</t>
  </si>
  <si>
    <t>GAITANIA</t>
  </si>
  <si>
    <t>GEGORA,QUIPARA,MURANDO,TIRAVENADO,JIGUADO</t>
  </si>
  <si>
    <t>GENAREROS</t>
  </si>
  <si>
    <t>GETUCHA</t>
  </si>
  <si>
    <t>GIRO</t>
  </si>
  <si>
    <t>GITO DOCABU</t>
  </si>
  <si>
    <t>GORGONIA</t>
  </si>
  <si>
    <t>GRAN ROSARIO -CALVI-LAS PEÑAS-OTROS</t>
  </si>
  <si>
    <t>GUACAMAYA MAMIYARE</t>
  </si>
  <si>
    <t xml:space="preserve">GUACHAVEZ </t>
  </si>
  <si>
    <t>GUACHICONO</t>
  </si>
  <si>
    <t>GUACO BAJO-GUACO ALTO</t>
  </si>
  <si>
    <t>GUADUAL-CUMBAS-INVINA-ARRAYAN</t>
  </si>
  <si>
    <t>GUADUALITO</t>
  </si>
  <si>
    <t>GUAGUANDO</t>
  </si>
  <si>
    <t>GUAIPA 1</t>
  </si>
  <si>
    <t>GUAIPA CENTRO</t>
  </si>
  <si>
    <t>GUALCALA</t>
  </si>
  <si>
    <t>GUAMBIA</t>
  </si>
  <si>
    <t>GUAMBI-YASLAMBI</t>
  </si>
  <si>
    <t>GUARANDO CARRIZAL</t>
  </si>
  <si>
    <t>GUASIMAL</t>
  </si>
  <si>
    <t xml:space="preserve">GUATAVITA TUA </t>
  </si>
  <si>
    <t>GUAYABAL DE PARTADO</t>
  </si>
  <si>
    <t>GUAYACAN-SANTA ROSA !</t>
  </si>
  <si>
    <t>GUAYUYACO</t>
  </si>
  <si>
    <t>GUELNAMBI-CARANO</t>
  </si>
  <si>
    <t>HERICHA</t>
  </si>
  <si>
    <t>HERMEREGILDO CHAKIAMA</t>
  </si>
  <si>
    <t>HILARQUITO</t>
  </si>
  <si>
    <t>HONDURAS</t>
  </si>
  <si>
    <t>HUELLAS</t>
  </si>
  <si>
    <t>HURTADO-TEGAVERA</t>
  </si>
  <si>
    <t>IBIBI (IWIWI)</t>
  </si>
  <si>
    <t>IGUANA</t>
  </si>
  <si>
    <t>IMBA</t>
  </si>
  <si>
    <t>INFI</t>
  </si>
  <si>
    <t>INGA DE CONDAGUA</t>
  </si>
  <si>
    <t>INGA DE PUERTO LIMON</t>
  </si>
  <si>
    <t>INGA-KAMSA DE MOCOA</t>
  </si>
  <si>
    <t>INTEGRADO DEL CHARCO</t>
  </si>
  <si>
    <t xml:space="preserve">IPIALES  </t>
  </si>
  <si>
    <t>IROKA</t>
  </si>
  <si>
    <t>ISLA DE RONDA</t>
  </si>
  <si>
    <t>ISLA DEL MONO</t>
  </si>
  <si>
    <t>JACOME</t>
  </si>
  <si>
    <t>JAGUAL RIO CHINTADO</t>
  </si>
  <si>
    <t>JAIDEZAVE</t>
  </si>
  <si>
    <t>JAIKERAZAVI (ABIBE MUTATA)</t>
  </si>
  <si>
    <t>JEBALA</t>
  </si>
  <si>
    <t>JENATURADO</t>
  </si>
  <si>
    <t>JENGADO-APARTADO</t>
  </si>
  <si>
    <t>JERICO-CONSAYA-PEÑAS ALTAS</t>
  </si>
  <si>
    <t>JIRIJIRI</t>
  </si>
  <si>
    <t>JULIEROS Y VELAZQUEROS</t>
  </si>
  <si>
    <t>JURADO-CHOCO</t>
  </si>
  <si>
    <t>KAMENTZA-BIYA</t>
  </si>
  <si>
    <t>KAWANARUBA</t>
  </si>
  <si>
    <t>KILOMETRO 6 Y 11 LETICIA TARAPACA</t>
  </si>
  <si>
    <t>KOGUI-MALAYO-ARHUACO</t>
  </si>
  <si>
    <t>KWE'S KIWE NASA (LA CRISTALINA)</t>
  </si>
  <si>
    <t>KWET WALA (PIEDRA GRANDE)</t>
  </si>
  <si>
    <t>LA AGUADA-SAN ANTONIO</t>
  </si>
  <si>
    <t>LA AGUADITA</t>
  </si>
  <si>
    <t>LA ALBANIA</t>
  </si>
  <si>
    <t>LA ASUNCION</t>
  </si>
  <si>
    <t>LA CERINDA</t>
  </si>
  <si>
    <t>LA CONCEPCION</t>
  </si>
  <si>
    <t>LA CRISTALINA</t>
  </si>
  <si>
    <t>LA ESMERALDA</t>
  </si>
  <si>
    <t>LA FLECHA ALTOZANO</t>
  </si>
  <si>
    <t>LA FUGA (conv)</t>
  </si>
  <si>
    <t>LA GAITANA</t>
  </si>
  <si>
    <t>LA ISLA</t>
  </si>
  <si>
    <t>LA JUAGUA-GUACHAL-PITALITO</t>
  </si>
  <si>
    <t>LA LEONA</t>
  </si>
  <si>
    <t>LA LLANURA</t>
  </si>
  <si>
    <t>LA LOMA</t>
  </si>
  <si>
    <t>LA MARIA</t>
  </si>
  <si>
    <t>LA MIRLA</t>
  </si>
  <si>
    <t>LA MONTAÑA</t>
  </si>
  <si>
    <t>LA PAILA-NAYA</t>
  </si>
  <si>
    <t>LA PASCUA</t>
  </si>
  <si>
    <t>LA PURIA</t>
  </si>
  <si>
    <t>LA REFORMA</t>
  </si>
  <si>
    <t>LA SAL</t>
  </si>
  <si>
    <t>LA SORTIJA</t>
  </si>
  <si>
    <t>LA TATACOA</t>
  </si>
  <si>
    <t>LA TURBIA</t>
  </si>
  <si>
    <t>LA TUTIRA</t>
  </si>
  <si>
    <t>LA VICTORIA (UMAPO)</t>
  </si>
  <si>
    <t>LA VORAGINE-LA ILUSION</t>
  </si>
  <si>
    <t>LA YUQUERA</t>
  </si>
  <si>
    <t>LAGARTO COCHA</t>
  </si>
  <si>
    <t>LAGOS DEL DORADO Y OTROS</t>
  </si>
  <si>
    <t>LAGUNA ANGUILLA LA MACARENA</t>
  </si>
  <si>
    <t>LAGUNA CURVINA-SAPUARA</t>
  </si>
  <si>
    <t>LAGUNA NEGRA Y CACAO</t>
  </si>
  <si>
    <t>LAGUNA NIÑAL,CUCUY,LOMABAJA</t>
  </si>
  <si>
    <t>LAGUNA SIBERIA</t>
  </si>
  <si>
    <t>LAGUNA TRANQUILA</t>
  </si>
  <si>
    <t>LAME</t>
  </si>
  <si>
    <t>LAS BRISAS</t>
  </si>
  <si>
    <t>LAS DELICIAS</t>
  </si>
  <si>
    <t>LAS MERCEDES</t>
  </si>
  <si>
    <t>LAS PALMAS</t>
  </si>
  <si>
    <t>LAS PLAYAS</t>
  </si>
  <si>
    <t>LOMAS DE HILARCO</t>
  </si>
  <si>
    <t>LOMITA DE CURUNDO</t>
  </si>
  <si>
    <t>LOS ANGELES</t>
  </si>
  <si>
    <t>LOS IGUANITOS</t>
  </si>
  <si>
    <t>LOS NIASA</t>
  </si>
  <si>
    <t>LOS PIJAOS</t>
  </si>
  <si>
    <t>LOS PLANES</t>
  </si>
  <si>
    <t>MACARIEROS SAN JOSE</t>
  </si>
  <si>
    <t>MACEDONIA</t>
  </si>
  <si>
    <t>MACUARE</t>
  </si>
  <si>
    <t xml:space="preserve">MACUCUANA  </t>
  </si>
  <si>
    <t>MAJORE-AMBURA</t>
  </si>
  <si>
    <t>MALLAMA</t>
  </si>
  <si>
    <t>MAÑATURE</t>
  </si>
  <si>
    <t>MARGENES DER. E IZQ. RIO SAN JUAN</t>
  </si>
  <si>
    <t>MATAVEN-FRUTA</t>
  </si>
  <si>
    <t>MATECANDELA</t>
  </si>
  <si>
    <t>MATICURU</t>
  </si>
  <si>
    <t>MAYABANGLOMA</t>
  </si>
  <si>
    <t>MAYASQUER</t>
  </si>
  <si>
    <t>MENKUE-MISAYA Y LA PISTA</t>
  </si>
  <si>
    <t>MERCADILLO</t>
  </si>
  <si>
    <t>MEREY LA VERAITA</t>
  </si>
  <si>
    <t>MESA DE ORTEGA</t>
  </si>
  <si>
    <t>MESAI</t>
  </si>
  <si>
    <t>MIASA DE PARTADO</t>
  </si>
  <si>
    <t>MINITAS-MIRALINDO</t>
  </si>
  <si>
    <t>MIRITI PARANA</t>
  </si>
  <si>
    <t>MOCAGUA</t>
  </si>
  <si>
    <t>MONDO-MONDOCITO</t>
  </si>
  <si>
    <t>MONOCHOA</t>
  </si>
  <si>
    <t>MONTE HARMON</t>
  </si>
  <si>
    <t>MOROCOTO BUENAVISTA</t>
  </si>
  <si>
    <t>MOSOCO</t>
  </si>
  <si>
    <t>MOTILON-BARI</t>
  </si>
  <si>
    <t>MOTORDO</t>
  </si>
  <si>
    <t>MUCO-MAYORAGUA</t>
  </si>
  <si>
    <t>MUELLAMUES</t>
  </si>
  <si>
    <t>MUNGARADO</t>
  </si>
  <si>
    <t>MURCIELAGO-ALTAMIRA</t>
  </si>
  <si>
    <t>MURRI-PANTANOS</t>
  </si>
  <si>
    <t>NABERA DRUA</t>
  </si>
  <si>
    <t>NAPIPI</t>
  </si>
  <si>
    <t>NARIKIZAVI</t>
  </si>
  <si>
    <t>NASA KIWE</t>
  </si>
  <si>
    <t>NASA KWE'S KIWE</t>
  </si>
  <si>
    <t>NASA THA</t>
  </si>
  <si>
    <t>NAZARET</t>
  </si>
  <si>
    <t>NICOLAS RAMIREZ</t>
  </si>
  <si>
    <t>NIÑERAS</t>
  </si>
  <si>
    <t xml:space="preserve">NOVIRAO </t>
  </si>
  <si>
    <t>NUEVA ESPERANZA</t>
  </si>
  <si>
    <t>NUEVA ESPERANZA DEL TOMO</t>
  </si>
  <si>
    <t>NUEVO PITALITO</t>
  </si>
  <si>
    <t>NUKAK-MAKU</t>
  </si>
  <si>
    <t>NUKAK-MAKU (Ampliación)</t>
  </si>
  <si>
    <t>NULPE MEDIO-ALTO RIO SAN JUAN</t>
  </si>
  <si>
    <t>NUNUYA DE VILLA AZUL</t>
  </si>
  <si>
    <t>NUSIDO</t>
  </si>
  <si>
    <t>NUSSI PURRU</t>
  </si>
  <si>
    <t>OKOCHI</t>
  </si>
  <si>
    <t>OLIRCO</t>
  </si>
  <si>
    <t>ONDAS DEL CAFRE</t>
  </si>
  <si>
    <t>OPOGADO-GUAGUANDO</t>
  </si>
  <si>
    <t>ORDO-SIVARU-AGUACLARA</t>
  </si>
  <si>
    <t>PABLO MUERA</t>
  </si>
  <si>
    <t>PACANDE</t>
  </si>
  <si>
    <t>PAEZ DE QUINTANA</t>
  </si>
  <si>
    <t>PAEZ DE VILLA LUCIA</t>
  </si>
  <si>
    <t>PALETARA</t>
  </si>
  <si>
    <t>PALMA ALTA</t>
  </si>
  <si>
    <t>PALMAR IMBI</t>
  </si>
  <si>
    <t xml:space="preserve">PANAN  </t>
  </si>
  <si>
    <t>PANCITARA</t>
  </si>
  <si>
    <t>PANIA</t>
  </si>
  <si>
    <t>PANIQUITA</t>
  </si>
  <si>
    <t>PANURE (VENEZUELA) (conv)</t>
  </si>
  <si>
    <t>PAPAYO (amp)</t>
  </si>
  <si>
    <t xml:space="preserve">PARAVARE  </t>
  </si>
  <si>
    <t>PARREROS</t>
  </si>
  <si>
    <t>PARTE ALTA RIO GUAINIA</t>
  </si>
  <si>
    <t>PARTE ORIENTAL DEL VAUPES</t>
  </si>
  <si>
    <t>PASO ANCHO-CHICUAMBE</t>
  </si>
  <si>
    <t>PAUJIL</t>
  </si>
  <si>
    <t>PAVASA-JELLA</t>
  </si>
  <si>
    <t>PEÑA BLANCA-RIO TRUANDO</t>
  </si>
  <si>
    <t>PEÑAS DEL OLVIDO</t>
  </si>
  <si>
    <t>PEÑAS ROJAS</t>
  </si>
  <si>
    <t>PERANCHITO (AMP)</t>
  </si>
  <si>
    <t>PERANCHO (AMP)</t>
  </si>
  <si>
    <t>PESCADITO</t>
  </si>
  <si>
    <t>PIALAPI PUEBLO VIEJO</t>
  </si>
  <si>
    <t>PICHICORA</t>
  </si>
  <si>
    <t>PIEDRA SELLADA-Q.TRONQUERIA</t>
  </si>
  <si>
    <t>PIGUAMBI PALANGALA</t>
  </si>
  <si>
    <t>PINGULLOS-SARDINERO</t>
  </si>
  <si>
    <t>PIOYA</t>
  </si>
  <si>
    <t>PIPALTA PALBI YAGUAPI</t>
  </si>
  <si>
    <t>PITAYO</t>
  </si>
  <si>
    <t>PLAYAS DE BOJABA</t>
  </si>
  <si>
    <t>POBLAZON</t>
  </si>
  <si>
    <t>POCARA</t>
  </si>
  <si>
    <t>POCHARCO</t>
  </si>
  <si>
    <t>POLINDARA</t>
  </si>
  <si>
    <t>POLINES</t>
  </si>
  <si>
    <t>PORVENIR-KANANGUCHAL</t>
  </si>
  <si>
    <t>POTRERITO</t>
  </si>
  <si>
    <t>POTRERITO-DOYARE</t>
  </si>
  <si>
    <t>PREDIO PUTUMAYO</t>
  </si>
  <si>
    <t>PREDIO PUTUMAYO (Puerto Limón)</t>
  </si>
  <si>
    <t>PROVINCIAL</t>
  </si>
  <si>
    <t>PTO VIEJO Y PTO ESPERANZA</t>
  </si>
  <si>
    <t>PUADO, MATARE, LA LERMA, TERDO</t>
  </si>
  <si>
    <t>PUEBLO NUEVO-LAGUNA COLORADA</t>
  </si>
  <si>
    <t>PUERTO ALEGRE-LA DIVISA</t>
  </si>
  <si>
    <t>PUERTO ANTIOQUIA</t>
  </si>
  <si>
    <t>PUERTO CORDOBA</t>
  </si>
  <si>
    <t>PUERTO LIBIA TRIPICAY</t>
  </si>
  <si>
    <t>PUERTO LIBRE-RIO PEPE</t>
  </si>
  <si>
    <t>PUERTO NARANJO</t>
  </si>
  <si>
    <t>PUERTO ZABALO-LOS MONOS</t>
  </si>
  <si>
    <t>PULGANDE CAMPOALEGRE</t>
  </si>
  <si>
    <t>PUNTA BANDERA</t>
  </si>
  <si>
    <t>PURACE</t>
  </si>
  <si>
    <t>PUYEROS</t>
  </si>
  <si>
    <t>QUEBRADA CAÑAVERAL-R SAN JORGE</t>
  </si>
  <si>
    <t>QUEBRADA QUERA</t>
  </si>
  <si>
    <t>QUEBRADITAS</t>
  </si>
  <si>
    <t>QUICHAYA</t>
  </si>
  <si>
    <t>QUIZGO</t>
  </si>
  <si>
    <t>RAMOS-MONGON-MANCHURIA</t>
  </si>
  <si>
    <t>RECINTO PALMAROSA</t>
  </si>
  <si>
    <t>REMANSO CHORRO BOCON</t>
  </si>
  <si>
    <t>RESGUARDO DE COTA</t>
  </si>
  <si>
    <t>RINCON BODEGA</t>
  </si>
  <si>
    <t>RINCON DE ANCHIQUE</t>
  </si>
  <si>
    <t>RIO BEBARA</t>
  </si>
  <si>
    <t>RIO BEBARAMA</t>
  </si>
  <si>
    <t>RIO BLANCO</t>
  </si>
  <si>
    <t>RIO CHAJERADO</t>
  </si>
  <si>
    <t>RIO DAGUA</t>
  </si>
  <si>
    <t>RIO DOMINGODO</t>
  </si>
  <si>
    <t>RIO GARRAPATAS</t>
  </si>
  <si>
    <t>RIO GUANGUI</t>
  </si>
  <si>
    <t>RIO ICHO QUEBRADA BARATUDO</t>
  </si>
  <si>
    <t>RIO JARAPETO</t>
  </si>
  <si>
    <t>RIO LA PLAYA-CHOCO</t>
  </si>
  <si>
    <t>RIO LA RAYA</t>
  </si>
  <si>
    <t>RIO LANAS O CAPA</t>
  </si>
  <si>
    <t>RIO MUCO Y GUARROJO</t>
  </si>
  <si>
    <t>RIO MUMBU</t>
  </si>
  <si>
    <t>RIO MUNGUIDO</t>
  </si>
  <si>
    <t>RIO MURINDO</t>
  </si>
  <si>
    <t>RIO NAYA (JOAQUINCITO) !</t>
  </si>
  <si>
    <t>RIO NEGUA</t>
  </si>
  <si>
    <t>RIO NUQUI</t>
  </si>
  <si>
    <t>RIO ORPUA</t>
  </si>
  <si>
    <t>RIO PANGUI</t>
  </si>
  <si>
    <t>RIO PICHIMA</t>
  </si>
  <si>
    <t>RIO PURRICHA</t>
  </si>
  <si>
    <t>RIO QUIPARADO</t>
  </si>
  <si>
    <t>RIO SANQUIANGA</t>
  </si>
  <si>
    <t>RIO SATINGA (BACAO)</t>
  </si>
  <si>
    <t>RIO SIARE-BARRANCO LINDO</t>
  </si>
  <si>
    <t>RIO TAPARAL</t>
  </si>
  <si>
    <t>RIO TOMO Y WEBERI</t>
  </si>
  <si>
    <t>RIO TORREIDO-CHIMANI</t>
  </si>
  <si>
    <t>RIO UVA Y POGUE</t>
  </si>
  <si>
    <t>RIOS ATABAPO E INIRIDA (Cacahual)</t>
  </si>
  <si>
    <t>RIOS CATRU Y DUBASA (amp)</t>
  </si>
  <si>
    <t>RIOS CUIARI E ISANA  (Pto.Colombia)</t>
  </si>
  <si>
    <t>RIOS JURUBIDA-CHORI-ALTO BAUDO</t>
  </si>
  <si>
    <t xml:space="preserve">RIOS PATO-JENGADO (amp) </t>
  </si>
  <si>
    <t>RIOS PAVARANDO-AMPARRADO MEDIO</t>
  </si>
  <si>
    <t>ROQUEROS EL DORADO</t>
  </si>
  <si>
    <t>RUMIYACO</t>
  </si>
  <si>
    <t>SABALETA</t>
  </si>
  <si>
    <t>SABANAS DE CURRIPAO</t>
  </si>
  <si>
    <t>SALAQUI-PAVARANDO</t>
  </si>
  <si>
    <t>SAN AGUSTIN-LA FLORESTA</t>
  </si>
  <si>
    <t>SAN ANDRES DE PISIMBALA</t>
  </si>
  <si>
    <t>SAN ANDRES DE SOTAVENTO</t>
  </si>
  <si>
    <t>SAN ANTONIO DE CALARMA</t>
  </si>
  <si>
    <t>SAN ANTONIO DE FRAGUA</t>
  </si>
  <si>
    <t>SAN ANTONIO DE LOS LAGOS</t>
  </si>
  <si>
    <t>SAN JOSE AMIA DE PATO</t>
  </si>
  <si>
    <t>SAN JOSE DE LIPA (CONVERSION)</t>
  </si>
  <si>
    <t>SAN JOSE DEL RIO</t>
  </si>
  <si>
    <t>SAN JUAN</t>
  </si>
  <si>
    <t>SAN JUAN DE LOS PARENTES</t>
  </si>
  <si>
    <t>SAN JUAN PAMPON</t>
  </si>
  <si>
    <t xml:space="preserve">SAN JUANITO  </t>
  </si>
  <si>
    <t xml:space="preserve">SAN LORENZO DE CALDONO </t>
  </si>
  <si>
    <t>SAN LUIS DEL TOMO</t>
  </si>
  <si>
    <t>SAN MATIAS O JAI-DUKAMA</t>
  </si>
  <si>
    <t>SAN MIGUEL DE LA CASTELLANA</t>
  </si>
  <si>
    <t>SAN PABLO EL PARA</t>
  </si>
  <si>
    <t>SANANDOCITO</t>
  </si>
  <si>
    <t>SANQUIANGUITA</t>
  </si>
  <si>
    <t>SANTA CECILIA-QUEBRADA ORO</t>
  </si>
  <si>
    <t>SANTA CRUZ DE PIÑUÑA BLANCO</t>
  </si>
  <si>
    <t>SANTA MARIA DE PANGALA</t>
  </si>
  <si>
    <t>SANTA MARIA EL CHARCON</t>
  </si>
  <si>
    <t>SANTA MARTA</t>
  </si>
  <si>
    <t>SANTA MARTA DE CURICHE</t>
  </si>
  <si>
    <t>SANTA MARTA INSPECCION</t>
  </si>
  <si>
    <t xml:space="preserve">SANTA MARTA PALMAR  </t>
  </si>
  <si>
    <t>SANTA MARTA-DIAMANTE</t>
  </si>
  <si>
    <t>SANTA ROSA CERRO CUCUY MORICHALVIEJO</t>
  </si>
  <si>
    <t>SANTA ROSA DE CAPISCO</t>
  </si>
  <si>
    <t>SANTA ROSA DE IJUA</t>
  </si>
  <si>
    <t>SANTA ROSA DE SUCUMBIOS</t>
  </si>
  <si>
    <t>SANTA ROSA DEL GUAMUEZ (conv)</t>
  </si>
  <si>
    <t>SANTA SOFIA Y EL PROGRESO</t>
  </si>
  <si>
    <t>SANTA TERESITA DEL TUPARRO</t>
  </si>
  <si>
    <t>SARACURE RIO CADA</t>
  </si>
  <si>
    <t>SEJALITO-SAN BENITO</t>
  </si>
  <si>
    <t>SEVER</t>
  </si>
  <si>
    <t xml:space="preserve">SIBERIA </t>
  </si>
  <si>
    <t>SIBUNDOY PARTE ALTA</t>
  </si>
  <si>
    <t>SIRENA BERRECUY</t>
  </si>
  <si>
    <t>SOCORPA</t>
  </si>
  <si>
    <t>SOLDADO PARATE BIEN</t>
  </si>
  <si>
    <t>SUIN</t>
  </si>
  <si>
    <t>SURATENA</t>
  </si>
  <si>
    <t>TACUEYO</t>
  </si>
  <si>
    <t>TAGUAL-LA PO</t>
  </si>
  <si>
    <t>TAHAMI DEL ANDAGUEDA</t>
  </si>
  <si>
    <t>TALAGA</t>
  </si>
  <si>
    <t>TAMA-PAEZ-LA GABRIELA</t>
  </si>
  <si>
    <t>TAMAS DEL CAGUAN</t>
  </si>
  <si>
    <t>TAMIRCO</t>
  </si>
  <si>
    <t>TANELA, (DADICHI, CITARA)</t>
  </si>
  <si>
    <t>TARENA</t>
  </si>
  <si>
    <t>TIERRA ALTA</t>
  </si>
  <si>
    <t>TIGRES Y MUNCHIQUE</t>
  </si>
  <si>
    <t>TINAJAS</t>
  </si>
  <si>
    <t>TIOSILIDIO</t>
  </si>
  <si>
    <t>TOEZ</t>
  </si>
  <si>
    <t>TOGOIMA</t>
  </si>
  <si>
    <t>TOGOROMA</t>
  </si>
  <si>
    <t>TOKOLLORO</t>
  </si>
  <si>
    <t>TONINA-SEJAL-SAN JOSE</t>
  </si>
  <si>
    <t>TORTUGAÑA-TELEMBI-OTROS</t>
  </si>
  <si>
    <t>TOTARCO DINDE TRADICIONAL</t>
  </si>
  <si>
    <t>TOTARCO DINDE-INDEPENDIENTE</t>
  </si>
  <si>
    <t>TOTARCO NIPLE</t>
  </si>
  <si>
    <t>TOTARCO PIEDRAS</t>
  </si>
  <si>
    <t>TOTARCO TAMARINDO</t>
  </si>
  <si>
    <t>TOTUMAL</t>
  </si>
  <si>
    <t>TRAPICHE-RIO PEPE</t>
  </si>
  <si>
    <t>TRES ESQUINAS</t>
  </si>
  <si>
    <t>TRONQUERIA,PULGRANDE,PALICITO</t>
  </si>
  <si>
    <t>TRUPIOGACHO-LA MESETA</t>
  </si>
  <si>
    <t>TUMBICHUCUE</t>
  </si>
  <si>
    <t>TUMBURAO</t>
  </si>
  <si>
    <t>TUNGINA-APARTADO-ZUÑIGA</t>
  </si>
  <si>
    <t>UKUMARI KANKHE</t>
  </si>
  <si>
    <t>UNA APUCHON</t>
  </si>
  <si>
    <t>UNIDO U'WA</t>
  </si>
  <si>
    <t>UNION CHOCO SAN CRISTOBAL</t>
  </si>
  <si>
    <t>VALLE BOROBORO-POZO MANZA-BRAZO</t>
  </si>
  <si>
    <t>VALLE DE PERDIDAS JENGAMECONDA</t>
  </si>
  <si>
    <t>VALLE DE SIBUNDOY</t>
  </si>
  <si>
    <t>VALLES DEL SOL</t>
  </si>
  <si>
    <t>VANIA CHAMI DE ARGELIA</t>
  </si>
  <si>
    <t>VENCEDOR PIRIRI (conv)</t>
  </si>
  <si>
    <t>VILLA CATALINA DE PUERTO ROSARIO</t>
  </si>
  <si>
    <t>VILLANUEVA JUNA</t>
  </si>
  <si>
    <t>VITONCO</t>
  </si>
  <si>
    <t>VUELTA DEL ALIVIO</t>
  </si>
  <si>
    <t>VUELTA DEL RIO</t>
  </si>
  <si>
    <t>WACOYO (COROCITO,YOPALITO,G.)</t>
  </si>
  <si>
    <t>WALLIANI</t>
  </si>
  <si>
    <t>WANCHIRADO-CHOCO</t>
  </si>
  <si>
    <t>WASIPUNGO</t>
  </si>
  <si>
    <t xml:space="preserve">WASIRUMA </t>
  </si>
  <si>
    <t xml:space="preserve">WAYUU DE LOMAMATO  </t>
  </si>
  <si>
    <t>WITORA O HUITORA</t>
  </si>
  <si>
    <t>WITOTO DE TUKUNARE</t>
  </si>
  <si>
    <t>YABERARADO (ABIBE CHIGORODO)</t>
  </si>
  <si>
    <t>YACO MOLANA</t>
  </si>
  <si>
    <t>YAGUARA II-LLANOS DEL YARI</t>
  </si>
  <si>
    <t>YAIGOJE-RIO APAPORIS**</t>
  </si>
  <si>
    <t>YAQUIVA</t>
  </si>
  <si>
    <t xml:space="preserve">YARAMAL  </t>
  </si>
  <si>
    <t>YARINAL-SAN MARCELINO (conv)</t>
  </si>
  <si>
    <t>YARUMAL Y EL BARRANCO</t>
  </si>
  <si>
    <t>YASCUAL</t>
  </si>
  <si>
    <t>YAVILLA II</t>
  </si>
  <si>
    <t>YUNGUILLO</t>
  </si>
  <si>
    <t>YURI</t>
  </si>
  <si>
    <t>ZARAGOZA TAMARINDO</t>
  </si>
  <si>
    <t>ZIT-SEK DEL QUECAL</t>
  </si>
  <si>
    <t>Achagua</t>
  </si>
  <si>
    <t>Amorúa</t>
  </si>
  <si>
    <t>Andoque o Andoke</t>
  </si>
  <si>
    <t>Arhuaco (IJKA)</t>
  </si>
  <si>
    <t>Awa (CUAIKER)</t>
  </si>
  <si>
    <t>Barea</t>
  </si>
  <si>
    <t>Barazana</t>
  </si>
  <si>
    <t>Barí (Motilón)</t>
  </si>
  <si>
    <t>Betoye</t>
  </si>
  <si>
    <t>Bora</t>
  </si>
  <si>
    <t>Cabiyari o Kawiyarí</t>
  </si>
  <si>
    <t>Carapana</t>
  </si>
  <si>
    <t>Carijona o Karijona</t>
  </si>
  <si>
    <t>Chimila (ETTE E´ NEKA)</t>
  </si>
  <si>
    <t>Chiricoa</t>
  </si>
  <si>
    <t>Cocama</t>
  </si>
  <si>
    <t>Coconuco</t>
  </si>
  <si>
    <t>Cofán o Kofán</t>
  </si>
  <si>
    <t>Pijaos</t>
  </si>
  <si>
    <t>Cubeo o Kubeo</t>
  </si>
  <si>
    <t>Cuiba o Kuiba</t>
  </si>
  <si>
    <t>Curripaco o Kurripako</t>
  </si>
  <si>
    <t>Desano</t>
  </si>
  <si>
    <t>Dujos</t>
  </si>
  <si>
    <t>Embera Catio o Embera Katío</t>
  </si>
  <si>
    <t>Embera Chami</t>
  </si>
  <si>
    <t>Eperara Siapidara</t>
  </si>
  <si>
    <t>Guambiano</t>
  </si>
  <si>
    <t>Guanaca</t>
  </si>
  <si>
    <t>Guayabero</t>
  </si>
  <si>
    <t>Hitnú</t>
  </si>
  <si>
    <t>Inga</t>
  </si>
  <si>
    <t>Kamsa o Kamëntsá</t>
  </si>
  <si>
    <t>Kogui</t>
  </si>
  <si>
    <t>Koreguaje o Coreguaje</t>
  </si>
  <si>
    <t>Letuama</t>
  </si>
  <si>
    <t>Macaguaje o Makaguaje</t>
  </si>
  <si>
    <t>Nukak (Makú)</t>
  </si>
  <si>
    <t>Macuna o Makuna (Sara)</t>
  </si>
  <si>
    <t>Masiguare</t>
  </si>
  <si>
    <t>Matapí</t>
  </si>
  <si>
    <t>Miraña</t>
  </si>
  <si>
    <t>Muinane</t>
  </si>
  <si>
    <t>Muisca</t>
  </si>
  <si>
    <t>Nonuya</t>
  </si>
  <si>
    <t>Ocaina</t>
  </si>
  <si>
    <t>Nasa (Paéz)</t>
  </si>
  <si>
    <t>Pastos</t>
  </si>
  <si>
    <t>Piapoco (Dzase)</t>
  </si>
  <si>
    <t>Piaroa</t>
  </si>
  <si>
    <t>Piratapuyo</t>
  </si>
  <si>
    <t>Pisamira</t>
  </si>
  <si>
    <t>Puinave</t>
  </si>
  <si>
    <t>Sáliba</t>
  </si>
  <si>
    <t>Sikuani</t>
  </si>
  <si>
    <t>Siona</t>
  </si>
  <si>
    <t>Siriano</t>
  </si>
  <si>
    <t>Siripu o Tsiripu (Mariposo)</t>
  </si>
  <si>
    <t>Taiwano (Tajuano)</t>
  </si>
  <si>
    <t>TanimuKa</t>
  </si>
  <si>
    <t>Tariano</t>
  </si>
  <si>
    <t>Tatuyo</t>
  </si>
  <si>
    <t>Tikuna</t>
  </si>
  <si>
    <t>Totoró</t>
  </si>
  <si>
    <t>Tucano (Desea) o Tukano</t>
  </si>
  <si>
    <t>Tule (Kuna)</t>
  </si>
  <si>
    <t>Tuyuka (Dojkapuara)</t>
  </si>
  <si>
    <t>U´wa (Tunebo)</t>
  </si>
  <si>
    <t>Wanano</t>
  </si>
  <si>
    <t>Wayuu</t>
  </si>
  <si>
    <t>Witoto</t>
  </si>
  <si>
    <t>Wiwa (Arzario)</t>
  </si>
  <si>
    <t>Waunan (Wuanana)</t>
  </si>
  <si>
    <t>Yagua</t>
  </si>
  <si>
    <t>Yanacona</t>
  </si>
  <si>
    <t>Yauna</t>
  </si>
  <si>
    <t>Yukuna</t>
  </si>
  <si>
    <t>Yuko (Yukpa)</t>
  </si>
  <si>
    <t>Yurí (Carabayo)</t>
  </si>
  <si>
    <t>Yuruti</t>
  </si>
  <si>
    <t>Zenú</t>
  </si>
  <si>
    <t>Quillacingas</t>
  </si>
  <si>
    <t>Negritudes</t>
  </si>
  <si>
    <t>Rom</t>
  </si>
  <si>
    <t xml:space="preserve"> </t>
  </si>
  <si>
    <t>Situación Académica año anterior:</t>
  </si>
  <si>
    <t>Nuevo</t>
  </si>
  <si>
    <t>ESTABLECIMIENTO EDUCATIVO :</t>
  </si>
  <si>
    <t>FIRMA DEL DIRECTOR :</t>
  </si>
  <si>
    <t>NOMBRE DEL DIRECTOR :</t>
  </si>
  <si>
    <t>NOMBRE DEL DOCENTE :</t>
  </si>
  <si>
    <t>COMPROMISO :  Asistir a todas las reuniones, citaciones o llamados que realicen profesores o directivos en relación a mi acudido; conocer y cumplir el Manual de Convivencia Escolar del Establecimiento.  
Se deja constancia que la persona identificada  en esta ficha  como ACUDIENTE, será con quien se relacionará el Establecimiento ante cualquier situación y a quien exclusivamente se entregará documentación del alumno(a)</t>
  </si>
  <si>
    <t>NUEVA GRANADA</t>
  </si>
  <si>
    <t>SANTA BARBARA DE PINTO</t>
  </si>
  <si>
    <t>ZAPAYAN</t>
  </si>
  <si>
    <t>ZONA BANANERA</t>
  </si>
  <si>
    <r>
      <t xml:space="preserve">FICHA DE RENOVACIÓN DE MATRÍCULA  AÑO </t>
    </r>
    <r>
      <rPr>
        <b/>
        <sz val="18"/>
        <color rgb="FF663300"/>
        <rFont val="Calibri"/>
        <family val="2"/>
        <scheme val="minor"/>
      </rPr>
      <t>2019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</si>
</sst>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3" x14ac:knownFonts="1"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name val="Arial"/>
      <family val="2"/>
    </font>
    <font>
      <b/>
      <sz val="16"/>
      <name val="Arial"/>
      <family val="2"/>
    </font>
    <font>
      <sz val="14"/>
      <name val="Arial"/>
      <family val="2"/>
    </font>
    <font>
      <sz val="10"/>
      <color theme="0"/>
      <name val="Arial"/>
      <family val="2"/>
    </font>
    <font>
      <sz val="10"/>
      <color theme="0"/>
      <name val="Calibri"/>
      <family val="2"/>
      <scheme val="minor"/>
    </font>
    <font>
      <b/>
      <sz val="22"/>
      <color rgb="FF663300"/>
      <name val="Candara"/>
      <family val="2"/>
    </font>
    <font>
      <sz val="14"/>
      <color rgb="FF663300"/>
      <name val="Candara"/>
      <family val="2"/>
    </font>
    <font>
      <sz val="10"/>
      <color rgb="FF663300"/>
      <name val="Candara"/>
      <family val="2"/>
    </font>
    <font>
      <sz val="11"/>
      <color rgb="FF663300"/>
      <name val="Candara"/>
      <family val="2"/>
    </font>
    <font>
      <b/>
      <sz val="18"/>
      <color rgb="FF663300"/>
      <name val="Candara"/>
      <family val="2"/>
    </font>
    <font>
      <b/>
      <sz val="18"/>
      <color rgb="FF663300"/>
      <name val="Calibri"/>
      <family val="2"/>
      <scheme val="minor"/>
    </font>
    <font>
      <b/>
      <sz val="12"/>
      <color rgb="FF663300"/>
      <name val="Candara"/>
      <family val="2"/>
    </font>
    <font>
      <b/>
      <sz val="14"/>
      <color rgb="FF663300"/>
      <name val="Candara"/>
      <family val="2"/>
    </font>
    <font>
      <sz val="12"/>
      <color rgb="FF663300"/>
      <name val="Candara"/>
      <family val="2"/>
    </font>
    <font>
      <sz val="10"/>
      <color rgb="FF663300"/>
      <name val="Arial"/>
      <family val="2"/>
    </font>
    <font>
      <sz val="9"/>
      <color rgb="FF663300"/>
      <name val="Candara"/>
      <family val="2"/>
    </font>
    <font>
      <sz val="13"/>
      <color rgb="FF663300"/>
      <name val="Candara"/>
      <family val="2"/>
    </font>
    <font>
      <sz val="8"/>
      <color rgb="FF663300"/>
      <name val="Candara"/>
      <family val="2"/>
    </font>
    <font>
      <sz val="12"/>
      <color theme="0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0"/>
      <name val="Candara"/>
      <family val="2"/>
    </font>
    <font>
      <b/>
      <sz val="11.5"/>
      <color rgb="FF663300"/>
      <name val="Candar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rgb="FF663300"/>
      </bottom>
      <diagonal/>
    </border>
    <border>
      <left/>
      <right/>
      <top style="thin">
        <color rgb="FF663300"/>
      </top>
      <bottom style="thin">
        <color rgb="FF663300"/>
      </bottom>
      <diagonal/>
    </border>
    <border>
      <left/>
      <right/>
      <top style="thin">
        <color rgb="FF663300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148">
    <xf numFmtId="0" fontId="0" fillId="0" borderId="0" xfId="0"/>
    <xf numFmtId="0" fontId="0" fillId="0" borderId="0" xfId="0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0" borderId="0" xfId="1" applyFont="1"/>
    <xf numFmtId="0" fontId="4" fillId="0" borderId="0" xfId="1" applyFont="1" applyBorder="1"/>
    <xf numFmtId="0" fontId="4" fillId="0" borderId="0" xfId="1" applyFont="1" applyFill="1" applyBorder="1" applyAlignment="1">
      <alignment horizontal="right"/>
    </xf>
    <xf numFmtId="49" fontId="4" fillId="0" borderId="0" xfId="1" applyNumberFormat="1" applyFont="1" applyFill="1" applyBorder="1"/>
    <xf numFmtId="49" fontId="4" fillId="0" borderId="0" xfId="1" applyNumberFormat="1" applyFont="1" applyFill="1"/>
    <xf numFmtId="0" fontId="4" fillId="0" borderId="0" xfId="1" applyFont="1" applyAlignment="1">
      <alignment horizontal="left"/>
    </xf>
    <xf numFmtId="0" fontId="4" fillId="0" borderId="0" xfId="1" applyFont="1" applyAlignment="1">
      <alignment horizontal="right"/>
    </xf>
    <xf numFmtId="0" fontId="0" fillId="0" borderId="4" xfId="0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1" applyFon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1" applyFont="1" applyAlignment="1">
      <alignment horizontal="left"/>
    </xf>
    <xf numFmtId="1" fontId="11" fillId="0" borderId="0" xfId="1" applyNumberFormat="1" applyFont="1" applyFill="1" applyBorder="1" applyAlignment="1">
      <alignment horizontal="right"/>
    </xf>
    <xf numFmtId="0" fontId="11" fillId="0" borderId="0" xfId="1" applyFont="1" applyFill="1" applyBorder="1" applyAlignment="1">
      <alignment horizontal="right" vertical="top" wrapText="1"/>
    </xf>
    <xf numFmtId="0" fontId="11" fillId="0" borderId="0" xfId="1" applyFont="1" applyBorder="1" applyAlignment="1">
      <alignment horizontal="right"/>
    </xf>
    <xf numFmtId="0" fontId="11" fillId="0" borderId="0" xfId="1" applyFont="1" applyFill="1" applyBorder="1" applyAlignment="1">
      <alignment horizontal="left" vertical="top" wrapText="1"/>
    </xf>
    <xf numFmtId="0" fontId="9" fillId="0" borderId="0" xfId="1" applyFont="1"/>
    <xf numFmtId="0" fontId="9" fillId="0" borderId="0" xfId="1" applyFont="1" applyAlignment="1">
      <alignment horizontal="right"/>
    </xf>
    <xf numFmtId="0" fontId="11" fillId="0" borderId="0" xfId="1" applyFont="1"/>
    <xf numFmtId="0" fontId="9" fillId="0" borderId="0" xfId="1" applyFont="1" applyAlignment="1"/>
    <xf numFmtId="1" fontId="1" fillId="0" borderId="3" xfId="1" applyNumberFormat="1" applyFont="1" applyFill="1" applyBorder="1" applyAlignment="1">
      <alignment horizontal="center" vertical="center"/>
    </xf>
    <xf numFmtId="1" fontId="4" fillId="0" borderId="0" xfId="1" applyNumberFormat="1" applyFont="1" applyFill="1" applyBorder="1" applyAlignment="1"/>
    <xf numFmtId="0" fontId="0" fillId="5" borderId="0" xfId="0" applyFill="1"/>
    <xf numFmtId="0" fontId="4" fillId="5" borderId="0" xfId="0" applyFont="1" applyFill="1"/>
    <xf numFmtId="0" fontId="12" fillId="0" borderId="0" xfId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3" fillId="0" borderId="0" xfId="0" applyFont="1"/>
    <xf numFmtId="0" fontId="12" fillId="0" borderId="0" xfId="1" applyFont="1"/>
    <xf numFmtId="0" fontId="12" fillId="0" borderId="0" xfId="1" applyFont="1" applyBorder="1"/>
    <xf numFmtId="0" fontId="9" fillId="0" borderId="0" xfId="1" applyFont="1" applyAlignment="1">
      <alignment horizontal="left"/>
    </xf>
    <xf numFmtId="0" fontId="9" fillId="0" borderId="5" xfId="1" applyFont="1" applyBorder="1" applyAlignment="1"/>
    <xf numFmtId="0" fontId="9" fillId="0" borderId="5" xfId="1" applyFont="1" applyBorder="1"/>
    <xf numFmtId="0" fontId="9" fillId="0" borderId="5" xfId="1" applyFont="1" applyBorder="1" applyAlignment="1">
      <alignment horizontal="right"/>
    </xf>
    <xf numFmtId="0" fontId="4" fillId="0" borderId="5" xfId="1" applyFont="1" applyBorder="1"/>
    <xf numFmtId="0" fontId="4" fillId="0" borderId="5" xfId="1" applyFont="1" applyFill="1" applyBorder="1" applyAlignment="1">
      <alignment horizontal="right"/>
    </xf>
    <xf numFmtId="49" fontId="4" fillId="0" borderId="5" xfId="1" applyNumberFormat="1" applyFont="1" applyFill="1" applyBorder="1"/>
    <xf numFmtId="14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49" fontId="7" fillId="0" borderId="0" xfId="0" applyNumberFormat="1" applyFont="1" applyFill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3" fillId="3" borderId="1" xfId="0" applyNumberFormat="1" applyFont="1" applyFill="1" applyBorder="1" applyAlignment="1">
      <alignment horizontal="center" vertical="center"/>
    </xf>
    <xf numFmtId="49" fontId="28" fillId="0" borderId="3" xfId="0" applyNumberFormat="1" applyFon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29" fillId="3" borderId="2" xfId="1" applyFont="1" applyFill="1" applyBorder="1" applyAlignment="1">
      <alignment horizontal="center" vertical="center"/>
    </xf>
    <xf numFmtId="0" fontId="29" fillId="3" borderId="2" xfId="1" applyFont="1" applyFill="1" applyBorder="1" applyAlignment="1">
      <alignment horizontal="center" vertical="center" textRotation="90" wrapText="1"/>
    </xf>
    <xf numFmtId="1" fontId="29" fillId="3" borderId="2" xfId="1" applyNumberFormat="1" applyFont="1" applyFill="1" applyBorder="1" applyAlignment="1">
      <alignment horizontal="center" vertical="center"/>
    </xf>
    <xf numFmtId="0" fontId="29" fillId="3" borderId="2" xfId="1" applyFont="1" applyFill="1" applyBorder="1" applyAlignment="1">
      <alignment horizontal="center" vertical="center" textRotation="90"/>
    </xf>
    <xf numFmtId="49" fontId="29" fillId="3" borderId="2" xfId="1" applyNumberFormat="1" applyFont="1" applyFill="1" applyBorder="1" applyAlignment="1">
      <alignment horizontal="center" vertical="center" textRotation="90"/>
    </xf>
    <xf numFmtId="1" fontId="29" fillId="3" borderId="2" xfId="1" applyNumberFormat="1" applyFont="1" applyFill="1" applyBorder="1" applyAlignment="1">
      <alignment horizontal="center" vertical="center" textRotation="90"/>
    </xf>
    <xf numFmtId="1" fontId="29" fillId="3" borderId="2" xfId="1" applyNumberFormat="1" applyFont="1" applyFill="1" applyBorder="1" applyAlignment="1">
      <alignment horizontal="center" vertical="center" wrapText="1"/>
    </xf>
    <xf numFmtId="0" fontId="27" fillId="0" borderId="0" xfId="1" applyFont="1" applyFill="1" applyBorder="1" applyAlignment="1">
      <alignment horizontal="center" vertical="center" textRotation="90"/>
    </xf>
    <xf numFmtId="0" fontId="27" fillId="0" borderId="0" xfId="1" applyFont="1" applyAlignment="1">
      <alignment horizontal="center" vertical="center"/>
    </xf>
    <xf numFmtId="0" fontId="1" fillId="0" borderId="0" xfId="1" applyFont="1" applyAlignment="1">
      <alignment horizontal="center" vertical="center"/>
    </xf>
    <xf numFmtId="0" fontId="5" fillId="3" borderId="2" xfId="1" applyFont="1" applyFill="1" applyBorder="1" applyAlignment="1">
      <alignment horizontal="center" vertical="center" textRotation="90" wrapText="1"/>
    </xf>
    <xf numFmtId="0" fontId="5" fillId="3" borderId="2" xfId="1" applyFont="1" applyFill="1" applyBorder="1" applyAlignment="1">
      <alignment horizontal="center" vertical="center" wrapText="1"/>
    </xf>
    <xf numFmtId="49" fontId="30" fillId="3" borderId="3" xfId="0" applyNumberFormat="1" applyFont="1" applyFill="1" applyBorder="1" applyAlignment="1">
      <alignment horizontal="center" vertical="center"/>
    </xf>
    <xf numFmtId="0" fontId="4" fillId="0" borderId="9" xfId="1" applyFont="1" applyBorder="1"/>
    <xf numFmtId="0" fontId="9" fillId="0" borderId="9" xfId="1" applyFont="1" applyBorder="1" applyAlignment="1"/>
    <xf numFmtId="1" fontId="4" fillId="0" borderId="9" xfId="1" applyNumberFormat="1" applyFont="1" applyFill="1" applyBorder="1" applyAlignment="1"/>
    <xf numFmtId="0" fontId="11" fillId="0" borderId="9" xfId="1" applyFont="1" applyBorder="1"/>
    <xf numFmtId="0" fontId="9" fillId="0" borderId="9" xfId="1" applyFont="1" applyBorder="1"/>
    <xf numFmtId="0" fontId="1" fillId="2" borderId="6" xfId="0" applyFont="1" applyFill="1" applyBorder="1" applyAlignment="1" applyProtection="1">
      <alignment horizontal="center"/>
      <protection locked="0"/>
    </xf>
    <xf numFmtId="0" fontId="1" fillId="2" borderId="7" xfId="0" applyFont="1" applyFill="1" applyBorder="1" applyAlignment="1" applyProtection="1">
      <alignment horizont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left"/>
    </xf>
    <xf numFmtId="0" fontId="15" fillId="0" borderId="0" xfId="0" applyFont="1" applyFill="1" applyBorder="1" applyAlignment="1" applyProtection="1">
      <alignment horizontal="left"/>
    </xf>
    <xf numFmtId="0" fontId="16" fillId="2" borderId="0" xfId="0" applyFont="1" applyFill="1" applyBorder="1" applyAlignment="1" applyProtection="1">
      <alignment horizontal="left" textRotation="90"/>
    </xf>
    <xf numFmtId="0" fontId="20" fillId="2" borderId="0" xfId="0" applyFont="1" applyFill="1" applyBorder="1" applyAlignment="1" applyProtection="1">
      <alignment horizontal="left"/>
    </xf>
    <xf numFmtId="0" fontId="21" fillId="2" borderId="0" xfId="0" applyFont="1" applyFill="1" applyBorder="1" applyAlignment="1" applyProtection="1">
      <alignment horizontal="left"/>
    </xf>
    <xf numFmtId="0" fontId="16" fillId="2" borderId="0" xfId="0" applyFont="1" applyFill="1" applyBorder="1" applyAlignment="1" applyProtection="1">
      <alignment horizontal="left" textRotation="90" wrapText="1"/>
    </xf>
    <xf numFmtId="0" fontId="20" fillId="2" borderId="0" xfId="0" applyFont="1" applyFill="1" applyBorder="1" applyAlignment="1" applyProtection="1"/>
    <xf numFmtId="0" fontId="21" fillId="2" borderId="0" xfId="0" applyFont="1" applyFill="1" applyBorder="1" applyAlignment="1" applyProtection="1"/>
    <xf numFmtId="0" fontId="15" fillId="2" borderId="8" xfId="0" applyFont="1" applyFill="1" applyBorder="1" applyAlignment="1" applyProtection="1">
      <alignment horizontal="left"/>
    </xf>
    <xf numFmtId="0" fontId="22" fillId="2" borderId="0" xfId="0" applyFont="1" applyFill="1" applyBorder="1" applyAlignment="1" applyProtection="1">
      <alignment vertical="center"/>
    </xf>
    <xf numFmtId="0" fontId="22" fillId="2" borderId="0" xfId="0" applyFont="1" applyFill="1" applyBorder="1" applyAlignment="1" applyProtection="1">
      <alignment horizontal="right" vertical="center"/>
    </xf>
    <xf numFmtId="0" fontId="22" fillId="2" borderId="0" xfId="0" applyFont="1" applyFill="1" applyBorder="1" applyAlignment="1" applyProtection="1"/>
    <xf numFmtId="0" fontId="23" fillId="2" borderId="0" xfId="0" applyFont="1" applyFill="1" applyBorder="1" applyAlignment="1" applyProtection="1">
      <alignment horizontal="center" vertical="center"/>
    </xf>
    <xf numFmtId="0" fontId="22" fillId="2" borderId="0" xfId="0" applyFont="1" applyFill="1" applyBorder="1" applyAlignment="1" applyProtection="1">
      <alignment horizontal="right"/>
    </xf>
    <xf numFmtId="0" fontId="22" fillId="2" borderId="0" xfId="0" applyFont="1" applyFill="1" applyBorder="1" applyAlignment="1" applyProtection="1">
      <alignment horizontal="left"/>
    </xf>
    <xf numFmtId="0" fontId="1" fillId="2" borderId="0" xfId="0" applyFont="1" applyFill="1" applyBorder="1" applyAlignment="1" applyProtection="1">
      <alignment horizontal="left"/>
    </xf>
    <xf numFmtId="0" fontId="22" fillId="2" borderId="0" xfId="0" applyFont="1" applyFill="1" applyBorder="1" applyAlignment="1" applyProtection="1">
      <alignment horizontal="center"/>
    </xf>
    <xf numFmtId="0" fontId="16" fillId="2" borderId="0" xfId="0" applyFont="1" applyFill="1" applyBorder="1" applyAlignment="1" applyProtection="1">
      <alignment horizontal="center" vertical="center" textRotation="90"/>
    </xf>
    <xf numFmtId="0" fontId="15" fillId="2" borderId="0" xfId="0" applyFont="1" applyFill="1" applyBorder="1" applyAlignment="1" applyProtection="1">
      <alignment horizontal="center" vertical="center"/>
    </xf>
    <xf numFmtId="0" fontId="16" fillId="2" borderId="0" xfId="0" applyFont="1" applyFill="1" applyBorder="1" applyAlignment="1" applyProtection="1">
      <alignment horizontal="left" vertical="center" textRotation="90"/>
    </xf>
    <xf numFmtId="0" fontId="15" fillId="2" borderId="0" xfId="0" applyFont="1" applyFill="1" applyBorder="1" applyAlignment="1" applyProtection="1">
      <alignment horizontal="left" vertical="center"/>
    </xf>
    <xf numFmtId="0" fontId="22" fillId="2" borderId="0" xfId="0" applyFont="1" applyFill="1" applyBorder="1" applyAlignment="1" applyProtection="1">
      <alignment horizontal="left" vertical="center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0" xfId="0" applyFont="1" applyFill="1" applyBorder="1" applyAlignment="1" applyProtection="1">
      <alignment vertical="center"/>
    </xf>
    <xf numFmtId="0" fontId="15" fillId="2" borderId="0" xfId="0" applyFont="1" applyFill="1" applyBorder="1" applyAlignment="1" applyProtection="1"/>
    <xf numFmtId="0" fontId="17" fillId="2" borderId="0" xfId="0" applyFont="1" applyFill="1" applyBorder="1" applyAlignment="1" applyProtection="1">
      <alignment horizontal="left" vertical="center"/>
    </xf>
    <xf numFmtId="0" fontId="17" fillId="2" borderId="0" xfId="0" applyFont="1" applyFill="1" applyBorder="1" applyAlignment="1" applyProtection="1">
      <alignment vertical="center"/>
    </xf>
    <xf numFmtId="0" fontId="15" fillId="2" borderId="0" xfId="0" applyFont="1" applyFill="1" applyBorder="1" applyAlignment="1" applyProtection="1">
      <alignment horizontal="right"/>
    </xf>
    <xf numFmtId="0" fontId="26" fillId="2" borderId="0" xfId="0" applyFont="1" applyFill="1" applyBorder="1" applyAlignment="1" applyProtection="1">
      <alignment horizontal="center" vertical="center"/>
    </xf>
    <xf numFmtId="0" fontId="24" fillId="2" borderId="0" xfId="0" applyFont="1" applyFill="1" applyBorder="1" applyAlignment="1" applyProtection="1">
      <alignment horizontal="left" textRotation="90" wrapText="1"/>
    </xf>
    <xf numFmtId="49" fontId="7" fillId="3" borderId="0" xfId="0" applyNumberFormat="1" applyFont="1" applyFill="1" applyBorder="1" applyAlignment="1">
      <alignment horizontal="center" vertical="center"/>
    </xf>
    <xf numFmtId="49" fontId="0" fillId="3" borderId="0" xfId="0" applyNumberFormat="1" applyFill="1" applyBorder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0" fontId="31" fillId="0" borderId="0" xfId="0" applyFont="1" applyFill="1" applyBorder="1" applyAlignment="1" applyProtection="1">
      <alignment horizontal="left"/>
    </xf>
    <xf numFmtId="0" fontId="15" fillId="2" borderId="0" xfId="0" applyFont="1" applyFill="1" applyBorder="1" applyAlignment="1" applyProtection="1">
      <alignment horizontal="left"/>
    </xf>
    <xf numFmtId="0" fontId="1" fillId="2" borderId="6" xfId="0" applyFont="1" applyFill="1" applyBorder="1" applyAlignment="1" applyProtection="1">
      <alignment horizontal="center" vertical="center"/>
      <protection locked="0"/>
    </xf>
    <xf numFmtId="49" fontId="0" fillId="0" borderId="3" xfId="0" applyNumberFormat="1" applyBorder="1" applyAlignment="1" applyProtection="1">
      <alignment horizontal="center" vertical="center"/>
      <protection locked="0"/>
    </xf>
    <xf numFmtId="49" fontId="30" fillId="3" borderId="3" xfId="0" applyNumberFormat="1" applyFont="1" applyFill="1" applyBorder="1" applyAlignment="1" applyProtection="1">
      <alignment horizontal="center" vertical="center"/>
      <protection locked="0"/>
    </xf>
    <xf numFmtId="14" fontId="0" fillId="0" borderId="3" xfId="0" applyNumberFormat="1" applyBorder="1" applyAlignment="1" applyProtection="1">
      <alignment horizontal="center" vertical="center"/>
      <protection locked="0"/>
    </xf>
    <xf numFmtId="14" fontId="28" fillId="0" borderId="3" xfId="0" applyNumberFormat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32" fillId="2" borderId="0" xfId="0" applyFont="1" applyFill="1" applyBorder="1" applyAlignment="1" applyProtection="1"/>
    <xf numFmtId="0" fontId="21" fillId="3" borderId="0" xfId="0" applyFont="1" applyFill="1" applyBorder="1" applyAlignment="1" applyProtection="1">
      <alignment horizontal="center" vertical="center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left" vertical="center"/>
    </xf>
    <xf numFmtId="0" fontId="1" fillId="2" borderId="6" xfId="0" applyFont="1" applyFill="1" applyBorder="1" applyAlignment="1" applyProtection="1">
      <alignment horizontal="center"/>
      <protection locked="0"/>
    </xf>
    <xf numFmtId="0" fontId="15" fillId="2" borderId="0" xfId="0" applyFont="1" applyFill="1" applyBorder="1" applyAlignment="1" applyProtection="1">
      <alignment horizontal="left"/>
    </xf>
    <xf numFmtId="0" fontId="1" fillId="2" borderId="7" xfId="0" applyFont="1" applyFill="1" applyBorder="1" applyAlignment="1" applyProtection="1">
      <alignment horizontal="center"/>
      <protection locked="0"/>
    </xf>
    <xf numFmtId="0" fontId="1" fillId="2" borderId="6" xfId="0" applyFont="1" applyFill="1" applyBorder="1" applyAlignment="1" applyProtection="1">
      <alignment horizontal="center" wrapText="1"/>
      <protection locked="0"/>
    </xf>
    <xf numFmtId="0" fontId="21" fillId="2" borderId="0" xfId="0" applyFont="1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center"/>
      <protection locked="0"/>
    </xf>
    <xf numFmtId="0" fontId="1" fillId="2" borderId="6" xfId="0" applyFont="1" applyFill="1" applyBorder="1" applyAlignment="1" applyProtection="1">
      <alignment horizontal="center"/>
    </xf>
    <xf numFmtId="0" fontId="17" fillId="2" borderId="0" xfId="0" applyFont="1" applyFill="1" applyBorder="1" applyAlignment="1" applyProtection="1">
      <alignment horizontal="center"/>
    </xf>
    <xf numFmtId="0" fontId="25" fillId="2" borderId="0" xfId="0" applyFont="1" applyFill="1" applyBorder="1" applyAlignment="1" applyProtection="1">
      <alignment horizontal="center" vertical="center"/>
    </xf>
    <xf numFmtId="0" fontId="26" fillId="2" borderId="0" xfId="0" applyFont="1" applyFill="1" applyBorder="1" applyAlignment="1" applyProtection="1">
      <alignment horizontal="center" textRotation="90" wrapText="1"/>
    </xf>
    <xf numFmtId="0" fontId="15" fillId="2" borderId="0" xfId="0" applyFont="1" applyFill="1" applyBorder="1" applyAlignment="1" applyProtection="1">
      <alignment horizontal="center" vertical="center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14" fontId="1" fillId="2" borderId="7" xfId="0" applyNumberFormat="1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right" vertical="center"/>
    </xf>
    <xf numFmtId="0" fontId="22" fillId="2" borderId="0" xfId="0" applyFont="1" applyFill="1" applyBorder="1" applyAlignment="1" applyProtection="1">
      <alignment horizontal="center"/>
    </xf>
    <xf numFmtId="0" fontId="22" fillId="2" borderId="0" xfId="0" applyFont="1" applyFill="1" applyBorder="1" applyAlignment="1" applyProtection="1">
      <alignment horizontal="left" vertical="center"/>
    </xf>
    <xf numFmtId="0" fontId="20" fillId="2" borderId="0" xfId="0" applyFont="1" applyFill="1" applyBorder="1" applyAlignment="1" applyProtection="1">
      <alignment horizontal="right"/>
    </xf>
    <xf numFmtId="0" fontId="14" fillId="2" borderId="0" xfId="0" applyFont="1" applyFill="1" applyBorder="1" applyAlignment="1" applyProtection="1">
      <alignment horizontal="center" vertical="center"/>
    </xf>
    <xf numFmtId="0" fontId="17" fillId="2" borderId="0" xfId="0" applyFont="1" applyFill="1" applyBorder="1" applyAlignment="1" applyProtection="1">
      <alignment horizontal="center" vertical="top" wrapText="1"/>
    </xf>
    <xf numFmtId="0" fontId="18" fillId="2" borderId="0" xfId="0" applyFont="1" applyFill="1" applyBorder="1" applyAlignment="1" applyProtection="1">
      <alignment horizontal="center" vertical="center"/>
    </xf>
    <xf numFmtId="49" fontId="10" fillId="0" borderId="0" xfId="1" applyNumberFormat="1" applyFont="1" applyAlignment="1">
      <alignment horizontal="center" vertical="center"/>
    </xf>
    <xf numFmtId="49" fontId="9" fillId="0" borderId="0" xfId="1" applyNumberFormat="1" applyFont="1" applyAlignment="1">
      <alignment horizontal="center" vertical="center"/>
    </xf>
    <xf numFmtId="49" fontId="5" fillId="0" borderId="0" xfId="1" applyNumberFormat="1" applyFont="1" applyAlignment="1">
      <alignment horizontal="center" vertical="center"/>
    </xf>
  </cellXfs>
  <cellStyles count="2">
    <cellStyle name="Normal" xfId="0" builtinId="0"/>
    <cellStyle name="Normal 2" xfId="1"/>
  </cellStyles>
  <dxfs count="10"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663300"/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58158</xdr:colOff>
      <xdr:row>1</xdr:row>
      <xdr:rowOff>80185</xdr:rowOff>
    </xdr:from>
    <xdr:to>
      <xdr:col>7</xdr:col>
      <xdr:colOff>163307</xdr:colOff>
      <xdr:row>3</xdr:row>
      <xdr:rowOff>270394</xdr:rowOff>
    </xdr:to>
    <xdr:pic>
      <xdr:nvPicPr>
        <xdr:cNvPr id="2" name="Imagen 1" descr="logo diocesi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889" y="329300"/>
          <a:ext cx="940418" cy="820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201274</xdr:colOff>
      <xdr:row>1</xdr:row>
      <xdr:rowOff>182214</xdr:rowOff>
    </xdr:from>
    <xdr:to>
      <xdr:col>30</xdr:col>
      <xdr:colOff>222115</xdr:colOff>
      <xdr:row>3</xdr:row>
      <xdr:rowOff>105090</xdr:rowOff>
    </xdr:to>
    <xdr:pic>
      <xdr:nvPicPr>
        <xdr:cNvPr id="3" name="Imagen 8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050"/>
        <a:stretch/>
      </xdr:blipFill>
      <xdr:spPr bwMode="auto">
        <a:xfrm>
          <a:off x="7380042" y="546405"/>
          <a:ext cx="1386558" cy="5532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53</xdr:row>
          <xdr:rowOff>95250</xdr:rowOff>
        </xdr:from>
        <xdr:to>
          <xdr:col>2</xdr:col>
          <xdr:colOff>209550</xdr:colOff>
          <xdr:row>54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55</xdr:row>
          <xdr:rowOff>28575</xdr:rowOff>
        </xdr:from>
        <xdr:to>
          <xdr:col>2</xdr:col>
          <xdr:colOff>209550</xdr:colOff>
          <xdr:row>56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947459</xdr:colOff>
      <xdr:row>0</xdr:row>
      <xdr:rowOff>134618</xdr:rowOff>
    </xdr:from>
    <xdr:to>
      <xdr:col>0</xdr:col>
      <xdr:colOff>2092699</xdr:colOff>
      <xdr:row>2</xdr:row>
      <xdr:rowOff>311110</xdr:rowOff>
    </xdr:to>
    <xdr:pic>
      <xdr:nvPicPr>
        <xdr:cNvPr id="2" name="1 Imagen" descr="logo diocesi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7459" y="134618"/>
          <a:ext cx="1145240" cy="10287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280148</xdr:colOff>
      <xdr:row>0</xdr:row>
      <xdr:rowOff>124196</xdr:rowOff>
    </xdr:from>
    <xdr:to>
      <xdr:col>18</xdr:col>
      <xdr:colOff>135593</xdr:colOff>
      <xdr:row>2</xdr:row>
      <xdr:rowOff>156880</xdr:rowOff>
    </xdr:to>
    <xdr:pic>
      <xdr:nvPicPr>
        <xdr:cNvPr id="4" name="5 Imagen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/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327" t="29632" r="31632" b="16616"/>
        <a:stretch/>
      </xdr:blipFill>
      <xdr:spPr bwMode="auto">
        <a:xfrm>
          <a:off x="16035619" y="124196"/>
          <a:ext cx="1413062" cy="884331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73588</xdr:colOff>
      <xdr:row>0</xdr:row>
      <xdr:rowOff>200660</xdr:rowOff>
    </xdr:from>
    <xdr:to>
      <xdr:col>3</xdr:col>
      <xdr:colOff>324970</xdr:colOff>
      <xdr:row>2</xdr:row>
      <xdr:rowOff>288475</xdr:rowOff>
    </xdr:to>
    <xdr:pic>
      <xdr:nvPicPr>
        <xdr:cNvPr id="2" name="1 Imagen" descr="logo diocesi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8000" y="200660"/>
          <a:ext cx="1080617" cy="9983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20</xdr:col>
      <xdr:colOff>691234</xdr:colOff>
      <xdr:row>0</xdr:row>
      <xdr:rowOff>224118</xdr:rowOff>
    </xdr:from>
    <xdr:to>
      <xdr:col>22</xdr:col>
      <xdr:colOff>212911</xdr:colOff>
      <xdr:row>2</xdr:row>
      <xdr:rowOff>196759</xdr:rowOff>
    </xdr:to>
    <xdr:pic>
      <xdr:nvPicPr>
        <xdr:cNvPr id="3" name="5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327" t="29632" r="31632" b="16616"/>
        <a:stretch/>
      </xdr:blipFill>
      <xdr:spPr bwMode="auto">
        <a:xfrm>
          <a:off x="13790910" y="224118"/>
          <a:ext cx="1572354" cy="8831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0000"/>
    <pageSetUpPr fitToPage="1"/>
  </sheetPr>
  <dimension ref="B1:AG76"/>
  <sheetViews>
    <sheetView tabSelected="1" view="pageBreakPreview" zoomScale="136" zoomScaleNormal="48" zoomScaleSheetLayoutView="136" workbookViewId="0">
      <selection activeCell="H6" sqref="H6:S6"/>
    </sheetView>
  </sheetViews>
  <sheetFormatPr baseColWidth="10" defaultRowHeight="20.100000000000001" customHeight="1" x14ac:dyDescent="0.3"/>
  <cols>
    <col min="1" max="1" width="4.7109375" style="76" customWidth="1"/>
    <col min="2" max="2" width="8.7109375" style="76" customWidth="1"/>
    <col min="3" max="3" width="4.140625" style="77" customWidth="1"/>
    <col min="4" max="31" width="4.140625" style="76" customWidth="1"/>
    <col min="32" max="40" width="11.42578125" style="76"/>
    <col min="41" max="54" width="11.42578125" style="76" customWidth="1"/>
    <col min="55" max="16384" width="11.42578125" style="76"/>
  </cols>
  <sheetData>
    <row r="1" spans="2:31" ht="28.5" customHeight="1" x14ac:dyDescent="0.3">
      <c r="D1" s="142" t="s">
        <v>0</v>
      </c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</row>
    <row r="2" spans="2:31" ht="18.75" x14ac:dyDescent="0.3">
      <c r="C2" s="78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</row>
    <row r="3" spans="2:31" ht="30.75" customHeight="1" x14ac:dyDescent="0.3">
      <c r="B3" s="78"/>
      <c r="C3" s="78"/>
      <c r="D3" s="143" t="s">
        <v>1</v>
      </c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  <c r="AE3" s="143"/>
    </row>
    <row r="4" spans="2:31" ht="24.75" customHeight="1" x14ac:dyDescent="0.3">
      <c r="B4" s="78"/>
      <c r="C4" s="78"/>
      <c r="D4" s="144" t="s">
        <v>2564</v>
      </c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</row>
    <row r="5" spans="2:31" ht="12.75" customHeight="1" x14ac:dyDescent="0.3">
      <c r="B5" s="78"/>
      <c r="C5" s="78"/>
    </row>
    <row r="6" spans="2:31" ht="21.75" customHeight="1" x14ac:dyDescent="0.3">
      <c r="C6" s="78"/>
      <c r="D6" s="79" t="s">
        <v>2</v>
      </c>
      <c r="E6" s="80"/>
      <c r="F6" s="80"/>
      <c r="G6" s="80"/>
      <c r="H6" s="125"/>
      <c r="I6" s="125"/>
      <c r="J6" s="125"/>
      <c r="K6" s="125"/>
      <c r="L6" s="125"/>
      <c r="M6" s="125"/>
      <c r="N6" s="125"/>
      <c r="O6" s="125"/>
      <c r="P6" s="125"/>
      <c r="Q6" s="125"/>
      <c r="R6" s="125"/>
      <c r="S6" s="125"/>
      <c r="T6" s="141" t="s">
        <v>3</v>
      </c>
      <c r="U6" s="141"/>
      <c r="V6" s="141"/>
      <c r="W6" s="141"/>
      <c r="X6" s="141"/>
      <c r="Y6" s="125" t="s">
        <v>2552</v>
      </c>
      <c r="Z6" s="125"/>
      <c r="AA6" s="125"/>
      <c r="AB6" s="125"/>
      <c r="AC6" s="125"/>
      <c r="AD6" s="125"/>
      <c r="AE6" s="125"/>
    </row>
    <row r="7" spans="2:31" ht="21.75" customHeight="1" x14ac:dyDescent="0.3">
      <c r="B7" s="81"/>
      <c r="C7" s="80"/>
      <c r="D7" s="119" t="s">
        <v>4</v>
      </c>
      <c r="E7" s="83"/>
      <c r="F7" s="83"/>
      <c r="G7" s="83"/>
      <c r="H7" s="83"/>
      <c r="I7" s="83"/>
      <c r="J7" s="83"/>
      <c r="K7" s="83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41" t="s">
        <v>5</v>
      </c>
      <c r="W7" s="141"/>
      <c r="X7" s="141"/>
      <c r="Y7" s="127" t="s">
        <v>2552</v>
      </c>
      <c r="Z7" s="127"/>
      <c r="AA7" s="127"/>
      <c r="AB7" s="127"/>
      <c r="AC7" s="127"/>
      <c r="AD7" s="127"/>
      <c r="AE7" s="127"/>
    </row>
    <row r="8" spans="2:31" ht="21.75" customHeight="1" x14ac:dyDescent="0.3">
      <c r="B8" s="81"/>
      <c r="C8" s="80"/>
      <c r="D8" s="79" t="s">
        <v>6</v>
      </c>
      <c r="E8" s="80"/>
      <c r="F8" s="80"/>
      <c r="G8" s="80"/>
      <c r="H8" s="80"/>
      <c r="I8" s="125" t="s">
        <v>2552</v>
      </c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41" t="s">
        <v>7</v>
      </c>
      <c r="W8" s="141"/>
      <c r="X8" s="141"/>
      <c r="Y8" s="130" t="s">
        <v>2552</v>
      </c>
      <c r="Z8" s="130"/>
      <c r="AA8" s="130"/>
      <c r="AB8" s="130"/>
      <c r="AC8" s="130"/>
      <c r="AD8" s="130"/>
      <c r="AE8" s="130"/>
    </row>
    <row r="9" spans="2:31" ht="15.75" customHeight="1" x14ac:dyDescent="0.3">
      <c r="B9" s="81"/>
      <c r="C9" s="78"/>
      <c r="T9" s="82"/>
      <c r="Y9" s="84"/>
      <c r="Z9" s="84"/>
      <c r="AA9" s="84"/>
      <c r="AB9" s="84"/>
      <c r="AC9" s="84"/>
      <c r="AD9" s="84"/>
      <c r="AE9" s="84"/>
    </row>
    <row r="10" spans="2:31" ht="21.75" customHeight="1" x14ac:dyDescent="0.3">
      <c r="B10" s="81"/>
      <c r="C10" s="78"/>
      <c r="D10" s="85" t="s">
        <v>2553</v>
      </c>
      <c r="E10" s="85"/>
      <c r="F10" s="85"/>
      <c r="G10" s="85"/>
      <c r="H10" s="85"/>
      <c r="I10" s="85"/>
      <c r="J10" s="85"/>
      <c r="K10" s="85"/>
      <c r="L10" s="85"/>
      <c r="N10" s="86" t="s">
        <v>8</v>
      </c>
      <c r="O10" s="72" t="s">
        <v>2552</v>
      </c>
      <c r="P10" s="87"/>
      <c r="Q10" s="88"/>
      <c r="R10" s="89" t="s">
        <v>9</v>
      </c>
      <c r="S10" s="74" t="s">
        <v>2552</v>
      </c>
      <c r="T10" s="90" t="s">
        <v>2554</v>
      </c>
      <c r="V10" s="74" t="s">
        <v>2552</v>
      </c>
      <c r="W10" s="91"/>
      <c r="X10" s="139" t="s">
        <v>10</v>
      </c>
      <c r="Y10" s="139"/>
      <c r="Z10" s="139"/>
      <c r="AA10" s="139"/>
      <c r="AB10" s="92" t="s">
        <v>11</v>
      </c>
      <c r="AC10" s="72" t="s">
        <v>2552</v>
      </c>
      <c r="AD10" s="92" t="s">
        <v>12</v>
      </c>
      <c r="AE10" s="72" t="s">
        <v>2552</v>
      </c>
    </row>
    <row r="11" spans="2:31" ht="23.25" customHeight="1" x14ac:dyDescent="0.3">
      <c r="B11" s="81"/>
      <c r="C11" s="78"/>
      <c r="D11" s="140" t="s">
        <v>13</v>
      </c>
      <c r="E11" s="140"/>
      <c r="F11" s="140"/>
      <c r="G11" s="140"/>
      <c r="H11" s="140"/>
      <c r="I11" s="140"/>
      <c r="J11" s="140"/>
      <c r="K11" s="140"/>
      <c r="L11" s="140"/>
      <c r="M11" s="90"/>
      <c r="N11" s="90" t="s">
        <v>14</v>
      </c>
      <c r="O11" s="73" t="s">
        <v>2552</v>
      </c>
      <c r="P11" s="90" t="s">
        <v>15</v>
      </c>
      <c r="Q11" s="72" t="s">
        <v>2552</v>
      </c>
      <c r="R11" s="90" t="s">
        <v>16</v>
      </c>
      <c r="S11" s="90"/>
      <c r="T11" s="125" t="s">
        <v>2552</v>
      </c>
      <c r="U11" s="125"/>
      <c r="V11" s="125"/>
      <c r="W11" s="125"/>
      <c r="X11" s="125"/>
      <c r="Y11" s="125"/>
      <c r="Z11" s="125"/>
      <c r="AA11" s="125"/>
      <c r="AB11" s="125"/>
      <c r="AC11" s="125"/>
      <c r="AD11" s="125"/>
      <c r="AE11" s="125"/>
    </row>
    <row r="12" spans="2:31" ht="21.75" customHeight="1" x14ac:dyDescent="0.3">
      <c r="B12" s="81"/>
      <c r="C12" s="78"/>
      <c r="D12" s="132" t="s">
        <v>17</v>
      </c>
      <c r="E12" s="132"/>
      <c r="F12" s="132"/>
      <c r="G12" s="132"/>
      <c r="H12" s="132"/>
      <c r="I12" s="132"/>
      <c r="J12" s="132"/>
      <c r="K12" s="132"/>
      <c r="L12" s="132"/>
      <c r="M12" s="132"/>
      <c r="N12" s="132"/>
      <c r="O12" s="132"/>
      <c r="P12" s="132"/>
      <c r="Q12" s="132"/>
      <c r="R12" s="132"/>
      <c r="S12" s="132"/>
      <c r="T12" s="132"/>
      <c r="U12" s="132"/>
      <c r="V12" s="132"/>
      <c r="W12" s="132"/>
      <c r="X12" s="132"/>
      <c r="Y12" s="132"/>
      <c r="Z12" s="132"/>
      <c r="AA12" s="132"/>
      <c r="AB12" s="132"/>
      <c r="AC12" s="132"/>
      <c r="AD12" s="132"/>
      <c r="AE12" s="132"/>
    </row>
    <row r="13" spans="2:31" s="94" customFormat="1" ht="22.5" customHeight="1" x14ac:dyDescent="0.25">
      <c r="B13" s="134" t="s">
        <v>2559</v>
      </c>
      <c r="C13" s="93"/>
      <c r="D13" s="120" t="s">
        <v>18</v>
      </c>
      <c r="E13" s="120"/>
      <c r="F13" s="120"/>
      <c r="G13" s="120"/>
      <c r="H13" s="120"/>
      <c r="I13" s="120"/>
      <c r="J13" s="120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20"/>
    </row>
    <row r="14" spans="2:31" s="96" customFormat="1" ht="24" customHeight="1" x14ac:dyDescent="0.25">
      <c r="B14" s="134"/>
      <c r="C14" s="95"/>
      <c r="D14" s="96" t="s">
        <v>19</v>
      </c>
      <c r="G14" s="97" t="s">
        <v>20</v>
      </c>
      <c r="H14" s="74" t="s">
        <v>2552</v>
      </c>
      <c r="I14" s="98" t="s">
        <v>21</v>
      </c>
      <c r="J14" s="74" t="s">
        <v>2552</v>
      </c>
      <c r="K14" s="98" t="s">
        <v>22</v>
      </c>
      <c r="L14" s="112" t="s">
        <v>2552</v>
      </c>
      <c r="M14" s="98" t="s">
        <v>23</v>
      </c>
      <c r="N14" s="74" t="s">
        <v>2552</v>
      </c>
      <c r="O14" s="99" t="s">
        <v>24</v>
      </c>
      <c r="P14" s="99"/>
      <c r="Q14" s="74" t="s">
        <v>2552</v>
      </c>
      <c r="R14" s="135" t="s">
        <v>25</v>
      </c>
      <c r="S14" s="135"/>
      <c r="T14" s="135"/>
      <c r="U14" s="135"/>
      <c r="V14" s="135"/>
      <c r="W14" s="135"/>
      <c r="X14" s="135"/>
      <c r="Y14" s="136" t="s">
        <v>2552</v>
      </c>
      <c r="Z14" s="136"/>
      <c r="AA14" s="136"/>
      <c r="AB14" s="136"/>
      <c r="AC14" s="136"/>
      <c r="AD14" s="136"/>
      <c r="AE14" s="136"/>
    </row>
    <row r="15" spans="2:31" s="96" customFormat="1" ht="25.5" customHeight="1" x14ac:dyDescent="0.25">
      <c r="B15" s="134"/>
      <c r="C15" s="95"/>
      <c r="D15" s="96" t="s">
        <v>26</v>
      </c>
      <c r="J15" s="121" t="s">
        <v>2552</v>
      </c>
      <c r="K15" s="121"/>
      <c r="L15" s="121"/>
      <c r="M15" s="121"/>
      <c r="N15" s="121"/>
      <c r="O15" s="121"/>
      <c r="P15" s="121"/>
      <c r="Q15" s="121"/>
      <c r="R15" s="135" t="s">
        <v>27</v>
      </c>
      <c r="S15" s="135"/>
      <c r="T15" s="135"/>
      <c r="U15" s="135"/>
      <c r="V15" s="135"/>
      <c r="W15" s="135"/>
      <c r="X15" s="121" t="s">
        <v>2552</v>
      </c>
      <c r="Y15" s="121"/>
      <c r="Z15" s="121"/>
      <c r="AA15" s="121"/>
      <c r="AB15" s="121"/>
      <c r="AC15" s="121"/>
      <c r="AD15" s="121"/>
      <c r="AE15" s="121"/>
    </row>
    <row r="16" spans="2:31" s="96" customFormat="1" ht="21.75" customHeight="1" x14ac:dyDescent="0.25">
      <c r="B16" s="134"/>
      <c r="C16" s="95"/>
      <c r="D16" s="96" t="s">
        <v>28</v>
      </c>
      <c r="G16" s="96" t="s">
        <v>29</v>
      </c>
      <c r="J16" s="75" t="s">
        <v>2552</v>
      </c>
      <c r="K16" s="96" t="s">
        <v>30</v>
      </c>
      <c r="N16" s="75" t="s">
        <v>2552</v>
      </c>
      <c r="O16" s="138" t="s">
        <v>300</v>
      </c>
      <c r="P16" s="138"/>
      <c r="Q16" s="138"/>
      <c r="R16" s="138"/>
      <c r="S16" s="138"/>
      <c r="T16" s="138"/>
      <c r="U16" s="138"/>
      <c r="V16" s="138"/>
      <c r="W16" s="138"/>
      <c r="X16" s="138"/>
      <c r="Y16" s="137" t="s">
        <v>2552</v>
      </c>
      <c r="Z16" s="137"/>
      <c r="AA16" s="137"/>
      <c r="AB16" s="137"/>
      <c r="AC16" s="137"/>
      <c r="AD16" s="137"/>
      <c r="AE16" s="137"/>
    </row>
    <row r="17" spans="2:33" s="96" customFormat="1" ht="21.75" customHeight="1" x14ac:dyDescent="0.25">
      <c r="B17" s="134"/>
      <c r="C17" s="95"/>
      <c r="D17" s="124" t="s">
        <v>31</v>
      </c>
      <c r="E17" s="124"/>
      <c r="F17" s="124"/>
      <c r="G17" s="124"/>
      <c r="H17" s="124"/>
      <c r="I17" s="124"/>
      <c r="J17" s="124"/>
      <c r="K17" s="121" t="s">
        <v>2552</v>
      </c>
      <c r="L17" s="121"/>
      <c r="M17" s="121"/>
      <c r="N17" s="121"/>
      <c r="O17" s="121"/>
      <c r="P17" s="121"/>
      <c r="Q17" s="121"/>
      <c r="R17" s="133" t="s">
        <v>32</v>
      </c>
      <c r="S17" s="133"/>
      <c r="T17" s="133"/>
      <c r="U17" s="133"/>
      <c r="V17" s="133"/>
      <c r="W17" s="133"/>
      <c r="X17" s="121" t="s">
        <v>2552</v>
      </c>
      <c r="Y17" s="121"/>
      <c r="Z17" s="121"/>
      <c r="AA17" s="121"/>
      <c r="AB17" s="121"/>
      <c r="AC17" s="121"/>
      <c r="AD17" s="121"/>
      <c r="AE17" s="121"/>
    </row>
    <row r="18" spans="2:33" ht="11.25" customHeight="1" x14ac:dyDescent="0.3">
      <c r="B18" s="134"/>
      <c r="C18" s="78"/>
    </row>
    <row r="19" spans="2:33" s="94" customFormat="1" ht="22.5" customHeight="1" x14ac:dyDescent="0.25">
      <c r="B19" s="134"/>
      <c r="C19" s="93"/>
      <c r="D19" s="120" t="s">
        <v>33</v>
      </c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20"/>
    </row>
    <row r="20" spans="2:33" ht="27" customHeight="1" x14ac:dyDescent="0.3">
      <c r="B20" s="134"/>
      <c r="C20" s="78"/>
      <c r="E20" s="125" t="s">
        <v>2552</v>
      </c>
      <c r="F20" s="125"/>
      <c r="G20" s="125"/>
      <c r="H20" s="125"/>
      <c r="I20" s="125"/>
      <c r="L20" s="125" t="s">
        <v>2552</v>
      </c>
      <c r="M20" s="125"/>
      <c r="N20" s="125"/>
      <c r="O20" s="125"/>
      <c r="P20" s="125"/>
      <c r="S20" s="125" t="s">
        <v>2552</v>
      </c>
      <c r="T20" s="125"/>
      <c r="U20" s="125"/>
      <c r="V20" s="125"/>
      <c r="W20" s="125"/>
      <c r="Z20" s="125" t="s">
        <v>2552</v>
      </c>
      <c r="AA20" s="125"/>
      <c r="AB20" s="125"/>
      <c r="AC20" s="125"/>
      <c r="AD20" s="125"/>
      <c r="AG20" s="110" t="str">
        <f>E20&amp;L20&amp;S20&amp;Z20</f>
        <v xml:space="preserve">    </v>
      </c>
    </row>
    <row r="21" spans="2:33" ht="21.75" customHeight="1" x14ac:dyDescent="0.3">
      <c r="B21" s="134"/>
      <c r="C21" s="78"/>
      <c r="E21" s="122" t="s">
        <v>34</v>
      </c>
      <c r="F21" s="122"/>
      <c r="G21" s="122"/>
      <c r="H21" s="122"/>
      <c r="I21" s="122"/>
      <c r="L21" s="122" t="s">
        <v>35</v>
      </c>
      <c r="M21" s="122"/>
      <c r="N21" s="122"/>
      <c r="O21" s="122"/>
      <c r="P21" s="122"/>
      <c r="S21" s="122" t="s">
        <v>36</v>
      </c>
      <c r="T21" s="122"/>
      <c r="U21" s="122"/>
      <c r="V21" s="122"/>
      <c r="W21" s="122"/>
      <c r="Z21" s="122" t="s">
        <v>37</v>
      </c>
      <c r="AA21" s="122"/>
      <c r="AB21" s="122"/>
      <c r="AC21" s="122"/>
      <c r="AD21" s="122"/>
    </row>
    <row r="22" spans="2:33" ht="22.5" customHeight="1" x14ac:dyDescent="0.3">
      <c r="B22" s="134"/>
      <c r="C22" s="78"/>
      <c r="D22" s="120" t="s">
        <v>38</v>
      </c>
      <c r="E22" s="120"/>
      <c r="F22" s="120"/>
      <c r="G22" s="120"/>
      <c r="H22" s="120"/>
      <c r="I22" s="120"/>
      <c r="J22" s="120"/>
      <c r="K22" s="120"/>
      <c r="L22" s="120"/>
      <c r="M22" s="120"/>
      <c r="N22" s="120"/>
      <c r="O22" s="120"/>
      <c r="P22" s="120"/>
      <c r="Q22" s="120"/>
      <c r="R22" s="120"/>
      <c r="S22" s="120"/>
      <c r="T22" s="120"/>
      <c r="U22" s="120"/>
      <c r="V22" s="120"/>
      <c r="W22" s="120"/>
      <c r="X22" s="120"/>
      <c r="Y22" s="120"/>
      <c r="Z22" s="120"/>
      <c r="AA22" s="120"/>
      <c r="AB22" s="120"/>
      <c r="AC22" s="120"/>
      <c r="AD22" s="120"/>
      <c r="AE22" s="120"/>
    </row>
    <row r="23" spans="2:33" ht="24" customHeight="1" x14ac:dyDescent="0.3">
      <c r="B23" s="134"/>
      <c r="C23" s="78"/>
      <c r="D23" s="100" t="s">
        <v>39</v>
      </c>
      <c r="M23" s="121" t="s">
        <v>2552</v>
      </c>
      <c r="N23" s="121"/>
      <c r="O23" s="121"/>
      <c r="P23" s="121"/>
      <c r="Q23" s="121"/>
      <c r="R23" s="121"/>
      <c r="S23" s="121"/>
      <c r="T23" s="121"/>
      <c r="U23" s="122" t="s">
        <v>40</v>
      </c>
      <c r="V23" s="122"/>
      <c r="W23" s="122"/>
      <c r="X23" s="122"/>
      <c r="Y23" s="122"/>
      <c r="Z23" s="121" t="s">
        <v>2552</v>
      </c>
      <c r="AA23" s="121"/>
      <c r="AB23" s="121"/>
      <c r="AC23" s="121"/>
      <c r="AD23" s="121"/>
      <c r="AE23" s="121"/>
    </row>
    <row r="24" spans="2:33" ht="21.75" customHeight="1" x14ac:dyDescent="0.3">
      <c r="B24" s="134"/>
      <c r="C24" s="78"/>
      <c r="D24" s="76" t="s">
        <v>41</v>
      </c>
      <c r="K24" s="121" t="s">
        <v>2552</v>
      </c>
      <c r="L24" s="121"/>
      <c r="M24" s="121"/>
      <c r="N24" s="121"/>
      <c r="O24" s="121"/>
      <c r="P24" s="121"/>
      <c r="Q24" s="121"/>
      <c r="R24" s="121"/>
      <c r="S24" s="121"/>
      <c r="T24" s="121"/>
      <c r="U24" s="122" t="s">
        <v>42</v>
      </c>
      <c r="V24" s="122"/>
      <c r="W24" s="122"/>
      <c r="X24" s="122"/>
      <c r="Y24" s="122"/>
      <c r="Z24" s="123" t="s">
        <v>2552</v>
      </c>
      <c r="AA24" s="123"/>
      <c r="AB24" s="123"/>
      <c r="AC24" s="123"/>
      <c r="AD24" s="123"/>
      <c r="AE24" s="123"/>
    </row>
    <row r="25" spans="2:33" ht="11.25" customHeight="1" x14ac:dyDescent="0.3">
      <c r="B25" s="134"/>
      <c r="C25" s="78"/>
    </row>
    <row r="26" spans="2:33" s="94" customFormat="1" ht="22.5" customHeight="1" x14ac:dyDescent="0.25">
      <c r="B26" s="134"/>
      <c r="C26" s="93"/>
      <c r="D26" s="120" t="s">
        <v>43</v>
      </c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  <c r="AB26" s="120"/>
      <c r="AC26" s="120"/>
      <c r="AD26" s="120"/>
      <c r="AE26" s="120"/>
    </row>
    <row r="27" spans="2:33" ht="24" customHeight="1" x14ac:dyDescent="0.3">
      <c r="B27" s="134"/>
      <c r="C27" s="78"/>
      <c r="D27" s="76" t="s">
        <v>44</v>
      </c>
      <c r="H27" s="121" t="s">
        <v>2552</v>
      </c>
      <c r="I27" s="121"/>
      <c r="J27" s="121"/>
      <c r="K27" s="121"/>
      <c r="L27" s="121"/>
      <c r="M27" s="121"/>
      <c r="N27" s="121"/>
      <c r="O27" s="121"/>
      <c r="P27" s="76" t="s">
        <v>45</v>
      </c>
      <c r="T27" s="121" t="s">
        <v>2552</v>
      </c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</row>
    <row r="28" spans="2:33" ht="21.75" customHeight="1" x14ac:dyDescent="0.3">
      <c r="B28" s="134"/>
      <c r="C28" s="78"/>
      <c r="D28" s="76" t="s">
        <v>46</v>
      </c>
      <c r="J28" s="123" t="s">
        <v>2552</v>
      </c>
      <c r="K28" s="123"/>
      <c r="L28" s="123"/>
      <c r="M28" s="123"/>
      <c r="N28" s="123"/>
      <c r="O28" s="123"/>
      <c r="P28" s="76" t="s">
        <v>47</v>
      </c>
      <c r="T28" s="123" t="s">
        <v>2552</v>
      </c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</row>
    <row r="29" spans="2:33" ht="11.25" customHeight="1" x14ac:dyDescent="0.3">
      <c r="B29" s="134"/>
      <c r="C29" s="78"/>
    </row>
    <row r="30" spans="2:33" s="94" customFormat="1" ht="22.5" customHeight="1" x14ac:dyDescent="0.25">
      <c r="B30" s="134"/>
      <c r="C30" s="93"/>
      <c r="D30" s="120" t="s">
        <v>48</v>
      </c>
      <c r="E30" s="120"/>
      <c r="F30" s="120"/>
      <c r="G30" s="120"/>
      <c r="H30" s="120"/>
      <c r="I30" s="120"/>
      <c r="J30" s="120"/>
      <c r="K30" s="120"/>
      <c r="L30" s="120"/>
      <c r="M30" s="120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0"/>
      <c r="AB30" s="120"/>
      <c r="AC30" s="120"/>
      <c r="AD30" s="120"/>
      <c r="AE30" s="120"/>
    </row>
    <row r="31" spans="2:33" s="96" customFormat="1" ht="24" customHeight="1" x14ac:dyDescent="0.25">
      <c r="B31" s="134"/>
      <c r="C31" s="95"/>
      <c r="D31" s="124" t="s">
        <v>49</v>
      </c>
      <c r="E31" s="124"/>
      <c r="F31" s="124"/>
      <c r="G31" s="124"/>
      <c r="H31" s="124"/>
      <c r="I31" s="124"/>
      <c r="J31" s="124"/>
      <c r="K31" s="124"/>
      <c r="L31" s="124"/>
      <c r="M31" s="96" t="s">
        <v>14</v>
      </c>
      <c r="N31" s="74" t="s">
        <v>2552</v>
      </c>
      <c r="O31" s="96" t="s">
        <v>15</v>
      </c>
      <c r="P31" s="74" t="s">
        <v>2552</v>
      </c>
      <c r="Q31" s="85" t="s">
        <v>302</v>
      </c>
      <c r="R31" s="85"/>
      <c r="S31" s="85"/>
      <c r="T31" s="85"/>
      <c r="U31" s="85"/>
      <c r="V31" s="85"/>
      <c r="W31" s="101"/>
      <c r="X31" s="102"/>
      <c r="Y31" s="121" t="s">
        <v>2552</v>
      </c>
      <c r="Z31" s="121"/>
      <c r="AA31" s="121"/>
      <c r="AB31" s="121"/>
      <c r="AC31" s="121"/>
      <c r="AD31" s="121"/>
      <c r="AE31" s="121"/>
    </row>
    <row r="32" spans="2:33" s="96" customFormat="1" ht="21.75" customHeight="1" x14ac:dyDescent="0.25">
      <c r="B32" s="134"/>
      <c r="C32" s="95"/>
      <c r="D32" s="124" t="s">
        <v>50</v>
      </c>
      <c r="E32" s="124"/>
      <c r="F32" s="124"/>
      <c r="G32" s="124"/>
      <c r="H32" s="124"/>
      <c r="I32" s="121" t="s">
        <v>2552</v>
      </c>
      <c r="J32" s="121"/>
      <c r="K32" s="121"/>
      <c r="L32" s="121"/>
      <c r="M32" s="121"/>
      <c r="N32" s="121"/>
      <c r="O32" s="121"/>
      <c r="P32" s="121"/>
      <c r="Q32" s="96" t="s">
        <v>51</v>
      </c>
      <c r="W32" s="121" t="s">
        <v>2552</v>
      </c>
      <c r="X32" s="121"/>
      <c r="Y32" s="121"/>
      <c r="Z32" s="121"/>
      <c r="AA32" s="121"/>
      <c r="AB32" s="121"/>
      <c r="AC32" s="121"/>
      <c r="AD32" s="121"/>
      <c r="AE32" s="121"/>
    </row>
    <row r="33" spans="2:31" ht="11.25" customHeight="1" x14ac:dyDescent="0.3">
      <c r="B33" s="134"/>
      <c r="C33" s="78"/>
    </row>
    <row r="34" spans="2:31" s="94" customFormat="1" ht="22.5" customHeight="1" x14ac:dyDescent="0.25">
      <c r="B34" s="134"/>
      <c r="C34" s="93"/>
      <c r="D34" s="120" t="s">
        <v>52</v>
      </c>
      <c r="E34" s="120"/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120"/>
      <c r="Q34" s="120"/>
      <c r="R34" s="120"/>
      <c r="S34" s="120"/>
      <c r="T34" s="120"/>
      <c r="U34" s="120"/>
      <c r="V34" s="120"/>
      <c r="W34" s="120"/>
      <c r="X34" s="120"/>
      <c r="Y34" s="120"/>
      <c r="Z34" s="120"/>
      <c r="AA34" s="120"/>
      <c r="AB34" s="120"/>
      <c r="AC34" s="120"/>
      <c r="AD34" s="120"/>
      <c r="AE34" s="120"/>
    </row>
    <row r="35" spans="2:31" ht="24" customHeight="1" x14ac:dyDescent="0.3">
      <c r="B35" s="134"/>
      <c r="C35" s="78"/>
      <c r="H35" s="76" t="s">
        <v>53</v>
      </c>
      <c r="M35" s="76" t="s">
        <v>14</v>
      </c>
      <c r="N35" s="74" t="s">
        <v>2552</v>
      </c>
      <c r="O35" s="76" t="s">
        <v>15</v>
      </c>
      <c r="P35" s="74" t="s">
        <v>2552</v>
      </c>
      <c r="S35" s="76" t="s">
        <v>54</v>
      </c>
      <c r="W35" s="74" t="s">
        <v>2552</v>
      </c>
      <c r="Z35" s="103" t="s">
        <v>55</v>
      </c>
      <c r="AA35" s="74" t="s">
        <v>2552</v>
      </c>
    </row>
    <row r="36" spans="2:31" ht="11.25" customHeight="1" x14ac:dyDescent="0.3">
      <c r="B36" s="134"/>
      <c r="C36" s="78"/>
    </row>
    <row r="37" spans="2:31" s="94" customFormat="1" ht="22.5" customHeight="1" x14ac:dyDescent="0.25">
      <c r="B37" s="134"/>
      <c r="C37" s="93"/>
      <c r="D37" s="120" t="s">
        <v>56</v>
      </c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20"/>
      <c r="S37" s="120"/>
      <c r="T37" s="120"/>
      <c r="U37" s="120"/>
      <c r="V37" s="120"/>
      <c r="W37" s="120"/>
      <c r="X37" s="120"/>
      <c r="Y37" s="120"/>
      <c r="Z37" s="120"/>
      <c r="AA37" s="120"/>
      <c r="AB37" s="120"/>
      <c r="AC37" s="120"/>
      <c r="AD37" s="120"/>
      <c r="AE37" s="120"/>
    </row>
    <row r="38" spans="2:31" ht="24" customHeight="1" x14ac:dyDescent="0.3">
      <c r="B38" s="134"/>
      <c r="C38" s="78"/>
      <c r="D38" s="126" t="s">
        <v>57</v>
      </c>
      <c r="E38" s="126"/>
      <c r="F38" s="126"/>
      <c r="G38" s="126"/>
      <c r="H38" s="125" t="s">
        <v>2552</v>
      </c>
      <c r="I38" s="125"/>
      <c r="J38" s="125"/>
      <c r="K38" s="125"/>
      <c r="L38" s="125"/>
      <c r="M38" s="125"/>
      <c r="N38" s="125"/>
      <c r="O38" s="125"/>
      <c r="P38" s="125"/>
      <c r="Q38" s="125"/>
      <c r="R38" s="122" t="s">
        <v>58</v>
      </c>
      <c r="S38" s="122"/>
      <c r="T38" s="125" t="s">
        <v>2552</v>
      </c>
      <c r="U38" s="125"/>
      <c r="V38" s="125"/>
      <c r="W38" s="125"/>
      <c r="X38" s="125"/>
      <c r="Y38" s="125"/>
      <c r="Z38" s="125"/>
      <c r="AA38" s="125"/>
      <c r="AB38" s="76" t="s">
        <v>59</v>
      </c>
      <c r="AE38" s="74" t="s">
        <v>2552</v>
      </c>
    </row>
    <row r="39" spans="2:31" ht="11.25" customHeight="1" x14ac:dyDescent="0.3">
      <c r="B39" s="134"/>
      <c r="C39" s="78"/>
    </row>
    <row r="40" spans="2:31" s="94" customFormat="1" ht="22.5" customHeight="1" x14ac:dyDescent="0.25">
      <c r="B40" s="134"/>
      <c r="C40" s="93"/>
      <c r="D40" s="120" t="s">
        <v>60</v>
      </c>
      <c r="E40" s="120"/>
      <c r="F40" s="120"/>
      <c r="G40" s="120"/>
      <c r="H40" s="120"/>
      <c r="I40" s="120"/>
      <c r="J40" s="120"/>
      <c r="K40" s="120"/>
      <c r="L40" s="120"/>
      <c r="M40" s="120"/>
      <c r="N40" s="120"/>
      <c r="O40" s="120"/>
      <c r="P40" s="120"/>
      <c r="Q40" s="120"/>
      <c r="R40" s="120"/>
      <c r="S40" s="120"/>
      <c r="T40" s="120"/>
      <c r="U40" s="120"/>
      <c r="V40" s="120"/>
      <c r="W40" s="120"/>
      <c r="X40" s="120"/>
      <c r="Y40" s="120"/>
      <c r="Z40" s="120"/>
      <c r="AA40" s="120"/>
      <c r="AB40" s="120"/>
      <c r="AC40" s="120"/>
      <c r="AD40" s="120"/>
      <c r="AE40" s="120"/>
    </row>
    <row r="41" spans="2:31" ht="25.5" customHeight="1" x14ac:dyDescent="0.3">
      <c r="B41" s="134"/>
      <c r="C41" s="78"/>
      <c r="D41" s="126" t="s">
        <v>61</v>
      </c>
      <c r="E41" s="126"/>
      <c r="F41" s="126"/>
      <c r="G41" s="126"/>
      <c r="H41" s="126"/>
      <c r="I41" s="126"/>
      <c r="J41" s="128" t="s">
        <v>2552</v>
      </c>
      <c r="K41" s="128"/>
      <c r="L41" s="128"/>
      <c r="M41" s="128"/>
      <c r="N41" s="128"/>
      <c r="O41" s="128"/>
      <c r="P41" s="128"/>
      <c r="Q41" s="76" t="s">
        <v>62</v>
      </c>
      <c r="Y41" s="125" t="s">
        <v>2552</v>
      </c>
      <c r="Z41" s="125"/>
      <c r="AA41" s="125"/>
      <c r="AB41" s="125"/>
      <c r="AC41" s="125"/>
      <c r="AD41" s="125"/>
      <c r="AE41" s="125"/>
    </row>
    <row r="42" spans="2:31" ht="21.75" customHeight="1" x14ac:dyDescent="0.3">
      <c r="B42" s="134"/>
      <c r="C42" s="78"/>
      <c r="D42" s="76" t="s">
        <v>63</v>
      </c>
      <c r="M42" s="76" t="s">
        <v>14</v>
      </c>
      <c r="N42" s="75" t="s">
        <v>2552</v>
      </c>
      <c r="O42" s="76" t="s">
        <v>15</v>
      </c>
      <c r="P42" s="75" t="s">
        <v>2552</v>
      </c>
    </row>
    <row r="43" spans="2:31" ht="11.25" customHeight="1" x14ac:dyDescent="0.3">
      <c r="B43" s="134"/>
      <c r="C43" s="78"/>
    </row>
    <row r="44" spans="2:31" s="94" customFormat="1" ht="22.5" customHeight="1" x14ac:dyDescent="0.25">
      <c r="B44" s="134"/>
      <c r="C44" s="93"/>
      <c r="D44" s="120" t="s">
        <v>64</v>
      </c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20"/>
      <c r="R44" s="120"/>
      <c r="S44" s="120"/>
      <c r="T44" s="120"/>
      <c r="U44" s="120"/>
      <c r="V44" s="120"/>
      <c r="W44" s="120"/>
      <c r="X44" s="120"/>
      <c r="Y44" s="120"/>
      <c r="Z44" s="120"/>
      <c r="AA44" s="120"/>
      <c r="AB44" s="120"/>
      <c r="AC44" s="120"/>
      <c r="AD44" s="120"/>
      <c r="AE44" s="120"/>
    </row>
    <row r="45" spans="2:31" ht="24" customHeight="1" x14ac:dyDescent="0.3">
      <c r="B45" s="134"/>
      <c r="C45" s="78"/>
      <c r="F45" s="76" t="s">
        <v>65</v>
      </c>
      <c r="I45" s="74" t="s">
        <v>2552</v>
      </c>
      <c r="R45" s="103" t="s">
        <v>66</v>
      </c>
      <c r="S45" s="74" t="s">
        <v>2552</v>
      </c>
      <c r="Z45" s="103" t="s">
        <v>67</v>
      </c>
      <c r="AA45" s="74" t="s">
        <v>2552</v>
      </c>
    </row>
    <row r="46" spans="2:31" ht="11.25" customHeight="1" x14ac:dyDescent="0.3">
      <c r="B46" s="134"/>
      <c r="C46" s="78"/>
    </row>
    <row r="47" spans="2:31" s="94" customFormat="1" ht="22.5" customHeight="1" x14ac:dyDescent="0.25">
      <c r="B47" s="134"/>
      <c r="C47" s="93"/>
      <c r="D47" s="120" t="s">
        <v>68</v>
      </c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120"/>
    </row>
    <row r="48" spans="2:31" ht="22.5" customHeight="1" x14ac:dyDescent="0.3">
      <c r="B48" s="134"/>
      <c r="C48" s="78"/>
      <c r="D48" s="96" t="s">
        <v>19</v>
      </c>
      <c r="E48" s="96"/>
      <c r="F48" s="96"/>
      <c r="G48" s="97" t="s">
        <v>20</v>
      </c>
      <c r="H48" s="74" t="s">
        <v>2552</v>
      </c>
      <c r="I48" s="98" t="s">
        <v>21</v>
      </c>
      <c r="J48" s="74" t="s">
        <v>2552</v>
      </c>
      <c r="K48" s="98" t="s">
        <v>22</v>
      </c>
      <c r="L48" s="74" t="s">
        <v>2552</v>
      </c>
      <c r="M48" s="104" t="s">
        <v>23</v>
      </c>
      <c r="N48" s="74" t="s">
        <v>2552</v>
      </c>
      <c r="O48" s="99" t="s">
        <v>24</v>
      </c>
      <c r="P48" s="99"/>
      <c r="Q48" s="74" t="s">
        <v>2552</v>
      </c>
      <c r="R48" s="96"/>
      <c r="S48" s="97" t="s">
        <v>25</v>
      </c>
      <c r="T48" s="97"/>
      <c r="U48" s="97"/>
      <c r="V48" s="97"/>
      <c r="W48" s="97"/>
      <c r="X48" s="96"/>
      <c r="Y48" s="121" t="s">
        <v>2552</v>
      </c>
      <c r="Z48" s="121"/>
      <c r="AA48" s="121"/>
      <c r="AB48" s="121"/>
      <c r="AC48" s="121"/>
      <c r="AD48" s="121"/>
      <c r="AE48" s="121"/>
    </row>
    <row r="49" spans="2:31" ht="22.5" customHeight="1" x14ac:dyDescent="0.3">
      <c r="B49" s="134"/>
      <c r="C49" s="78"/>
      <c r="D49" s="76" t="s">
        <v>26</v>
      </c>
      <c r="J49" s="121" t="s">
        <v>2552</v>
      </c>
      <c r="K49" s="121"/>
      <c r="L49" s="121"/>
      <c r="M49" s="121"/>
      <c r="N49" s="121"/>
      <c r="O49" s="121"/>
      <c r="P49" s="121"/>
      <c r="Q49" s="122" t="s">
        <v>27</v>
      </c>
      <c r="R49" s="122"/>
      <c r="S49" s="122"/>
      <c r="T49" s="122"/>
      <c r="U49" s="122"/>
      <c r="V49" s="122"/>
      <c r="W49" s="121" t="s">
        <v>2552</v>
      </c>
      <c r="X49" s="121"/>
      <c r="Y49" s="121"/>
      <c r="Z49" s="121"/>
      <c r="AA49" s="121"/>
      <c r="AB49" s="121"/>
      <c r="AC49" s="121"/>
      <c r="AD49" s="121"/>
      <c r="AE49" s="121"/>
    </row>
    <row r="50" spans="2:31" ht="22.5" customHeight="1" x14ac:dyDescent="0.3">
      <c r="B50" s="134"/>
      <c r="C50" s="78"/>
      <c r="D50" s="76" t="s">
        <v>69</v>
      </c>
      <c r="I50" s="125" t="s">
        <v>2552</v>
      </c>
      <c r="J50" s="125"/>
      <c r="K50" s="125"/>
      <c r="L50" s="125"/>
      <c r="M50" s="125"/>
      <c r="N50" s="125"/>
      <c r="O50" s="125"/>
      <c r="P50" s="125"/>
      <c r="Q50" s="122" t="s">
        <v>70</v>
      </c>
      <c r="R50" s="122"/>
      <c r="S50" s="122"/>
      <c r="T50" s="122"/>
      <c r="U50" s="122"/>
      <c r="V50" s="122"/>
      <c r="W50" s="127" t="s">
        <v>2552</v>
      </c>
      <c r="X50" s="127"/>
      <c r="Y50" s="127"/>
      <c r="Z50" s="127"/>
      <c r="AA50" s="127"/>
      <c r="AB50" s="127"/>
      <c r="AC50" s="127"/>
      <c r="AD50" s="127"/>
      <c r="AE50" s="127"/>
    </row>
    <row r="51" spans="2:31" ht="22.5" customHeight="1" x14ac:dyDescent="0.3">
      <c r="B51" s="134"/>
      <c r="C51" s="78"/>
      <c r="D51" s="76" t="s">
        <v>71</v>
      </c>
      <c r="I51" s="127" t="s">
        <v>2552</v>
      </c>
      <c r="J51" s="127"/>
      <c r="K51" s="127"/>
      <c r="L51" s="127"/>
      <c r="M51" s="127"/>
      <c r="N51" s="127"/>
      <c r="O51" s="127"/>
      <c r="P51" s="127"/>
      <c r="Q51" s="122" t="s">
        <v>72</v>
      </c>
      <c r="R51" s="122"/>
      <c r="S51" s="122"/>
      <c r="T51" s="122"/>
      <c r="U51" s="122"/>
      <c r="V51" s="122"/>
      <c r="W51" s="130" t="s">
        <v>2552</v>
      </c>
      <c r="X51" s="130"/>
      <c r="Y51" s="130"/>
      <c r="Z51" s="130"/>
      <c r="AA51" s="130"/>
      <c r="AB51" s="130"/>
      <c r="AC51" s="130"/>
      <c r="AD51" s="130"/>
      <c r="AE51" s="130"/>
    </row>
    <row r="52" spans="2:31" ht="22.5" customHeight="1" x14ac:dyDescent="0.3">
      <c r="B52" s="134"/>
      <c r="C52" s="78"/>
      <c r="D52" s="126" t="s">
        <v>40</v>
      </c>
      <c r="E52" s="126"/>
      <c r="F52" s="126"/>
      <c r="G52" s="126"/>
      <c r="H52" s="126"/>
      <c r="I52" s="125" t="s">
        <v>2552</v>
      </c>
      <c r="J52" s="125"/>
      <c r="K52" s="125"/>
      <c r="L52" s="125"/>
      <c r="M52" s="125"/>
      <c r="N52" s="125"/>
      <c r="O52" s="125"/>
      <c r="P52" s="125"/>
      <c r="Q52" s="122" t="s">
        <v>73</v>
      </c>
      <c r="R52" s="122"/>
      <c r="S52" s="122"/>
      <c r="T52" s="122"/>
      <c r="U52" s="122"/>
      <c r="V52" s="122"/>
      <c r="W52" s="127" t="s">
        <v>2552</v>
      </c>
      <c r="X52" s="127"/>
      <c r="Y52" s="127"/>
      <c r="Z52" s="127"/>
      <c r="AA52" s="127"/>
      <c r="AB52" s="127"/>
      <c r="AC52" s="127"/>
      <c r="AD52" s="127"/>
      <c r="AE52" s="127"/>
    </row>
    <row r="53" spans="2:31" ht="22.5" customHeight="1" x14ac:dyDescent="0.3">
      <c r="B53" s="134"/>
      <c r="C53" s="78"/>
      <c r="D53" s="76" t="s">
        <v>74</v>
      </c>
      <c r="H53" s="121" t="s">
        <v>2552</v>
      </c>
      <c r="I53" s="121"/>
      <c r="J53" s="121"/>
      <c r="K53" s="121"/>
      <c r="L53" s="121"/>
      <c r="M53" s="121"/>
      <c r="N53" s="121"/>
      <c r="O53" s="121"/>
      <c r="P53" s="121"/>
    </row>
    <row r="54" spans="2:31" ht="22.5" customHeight="1" x14ac:dyDescent="0.3">
      <c r="B54" s="105"/>
      <c r="C54" s="78"/>
    </row>
    <row r="55" spans="2:31" ht="22.5" customHeight="1" x14ac:dyDescent="0.3">
      <c r="B55" s="105"/>
      <c r="C55" s="78"/>
    </row>
    <row r="56" spans="2:31" ht="22.5" customHeight="1" x14ac:dyDescent="0.3">
      <c r="B56" s="105"/>
      <c r="C56" s="78"/>
      <c r="F56" s="131"/>
      <c r="G56" s="131"/>
      <c r="H56" s="131"/>
      <c r="I56" s="131"/>
      <c r="J56" s="131"/>
      <c r="K56" s="131"/>
      <c r="O56" s="131"/>
      <c r="P56" s="131"/>
      <c r="Q56" s="131"/>
      <c r="R56" s="131"/>
      <c r="S56" s="131"/>
      <c r="T56" s="131"/>
      <c r="U56" s="131"/>
      <c r="X56" s="131" t="s">
        <v>2552</v>
      </c>
      <c r="Y56" s="131"/>
      <c r="Z56" s="131"/>
      <c r="AA56" s="131"/>
      <c r="AB56" s="131"/>
      <c r="AC56" s="131"/>
      <c r="AD56" s="131"/>
    </row>
    <row r="57" spans="2:31" ht="21.75" customHeight="1" x14ac:dyDescent="0.3">
      <c r="B57" s="81"/>
      <c r="C57" s="78"/>
      <c r="F57" s="80" t="s">
        <v>75</v>
      </c>
      <c r="Q57" s="129" t="s">
        <v>76</v>
      </c>
      <c r="R57" s="129"/>
      <c r="S57" s="129"/>
      <c r="X57" s="129" t="s">
        <v>77</v>
      </c>
      <c r="Y57" s="129"/>
      <c r="Z57" s="129"/>
      <c r="AA57" s="129"/>
      <c r="AB57" s="129"/>
      <c r="AC57" s="129"/>
      <c r="AD57" s="129"/>
    </row>
    <row r="58" spans="2:31" ht="21.75" customHeight="1" x14ac:dyDescent="0.3">
      <c r="B58" s="81"/>
      <c r="C58" s="78"/>
      <c r="F58" s="80"/>
      <c r="Q58" s="80"/>
      <c r="Y58" s="80"/>
    </row>
    <row r="59" spans="2:31" ht="20.100000000000001" customHeight="1" x14ac:dyDescent="0.3">
      <c r="C59" s="76"/>
    </row>
    <row r="60" spans="2:31" s="111" customFormat="1" ht="20.100000000000001" customHeight="1" x14ac:dyDescent="0.3"/>
    <row r="61" spans="2:31" s="111" customFormat="1" ht="20.100000000000001" customHeight="1" x14ac:dyDescent="0.3"/>
    <row r="62" spans="2:31" s="111" customFormat="1" ht="20.100000000000001" customHeight="1" x14ac:dyDescent="0.3"/>
    <row r="63" spans="2:31" s="111" customFormat="1" ht="20.100000000000001" customHeight="1" x14ac:dyDescent="0.3"/>
    <row r="64" spans="2:31" s="111" customFormat="1" ht="20.100000000000001" customHeight="1" x14ac:dyDescent="0.3"/>
    <row r="65" spans="3:3" s="111" customFormat="1" ht="20.100000000000001" customHeight="1" x14ac:dyDescent="0.3"/>
    <row r="66" spans="3:3" s="111" customFormat="1" ht="20.100000000000001" customHeight="1" x14ac:dyDescent="0.3"/>
    <row r="67" spans="3:3" s="111" customFormat="1" ht="20.100000000000001" customHeight="1" x14ac:dyDescent="0.3"/>
    <row r="68" spans="3:3" s="111" customFormat="1" ht="20.100000000000001" customHeight="1" x14ac:dyDescent="0.3"/>
    <row r="69" spans="3:3" s="111" customFormat="1" ht="20.100000000000001" customHeight="1" x14ac:dyDescent="0.3"/>
    <row r="70" spans="3:3" s="111" customFormat="1" ht="20.100000000000001" customHeight="1" x14ac:dyDescent="0.3"/>
    <row r="71" spans="3:3" s="111" customFormat="1" ht="20.100000000000001" customHeight="1" x14ac:dyDescent="0.3"/>
    <row r="72" spans="3:3" s="111" customFormat="1" ht="20.100000000000001" customHeight="1" x14ac:dyDescent="0.3"/>
    <row r="73" spans="3:3" s="111" customFormat="1" ht="20.100000000000001" customHeight="1" x14ac:dyDescent="0.3"/>
    <row r="74" spans="3:3" s="111" customFormat="1" ht="20.100000000000001" customHeight="1" x14ac:dyDescent="0.3"/>
    <row r="75" spans="3:3" s="111" customFormat="1" ht="20.100000000000001" customHeight="1" x14ac:dyDescent="0.3"/>
    <row r="76" spans="3:3" ht="20.100000000000001" customHeight="1" x14ac:dyDescent="0.3">
      <c r="C76" s="111"/>
    </row>
  </sheetData>
  <sheetProtection algorithmName="SHA-512" hashValue="x1YQite1yyFCJVnEdsnwQWWRViv6B0gt5DuMJy18aH5Vxgk1zNVVZlDP/Tinx6tXDdhgEsLfTy1OXGfwUk7hDA==" saltValue="JcutmKWXrYOoQIhzsrifJA==" spinCount="100000" sheet="1" formatCells="0" formatColumns="0" formatRows="0" sort="0"/>
  <mergeCells count="88">
    <mergeCell ref="D1:AE2"/>
    <mergeCell ref="D3:AE3"/>
    <mergeCell ref="D4:AE4"/>
    <mergeCell ref="H6:S6"/>
    <mergeCell ref="T6:X6"/>
    <mergeCell ref="Y6:AE6"/>
    <mergeCell ref="X10:AA10"/>
    <mergeCell ref="D11:L11"/>
    <mergeCell ref="T11:AE11"/>
    <mergeCell ref="L7:U7"/>
    <mergeCell ref="V7:X7"/>
    <mergeCell ref="Y7:AE7"/>
    <mergeCell ref="I8:U8"/>
    <mergeCell ref="V8:X8"/>
    <mergeCell ref="Y8:AE8"/>
    <mergeCell ref="B13:B53"/>
    <mergeCell ref="D13:AE13"/>
    <mergeCell ref="R14:X14"/>
    <mergeCell ref="Y14:AE14"/>
    <mergeCell ref="R15:W15"/>
    <mergeCell ref="J15:Q15"/>
    <mergeCell ref="X15:AE15"/>
    <mergeCell ref="Y16:AE16"/>
    <mergeCell ref="O16:X16"/>
    <mergeCell ref="Y31:AE31"/>
    <mergeCell ref="E21:I21"/>
    <mergeCell ref="L21:P21"/>
    <mergeCell ref="S21:W21"/>
    <mergeCell ref="Z21:AD21"/>
    <mergeCell ref="D17:J17"/>
    <mergeCell ref="D22:AE22"/>
    <mergeCell ref="M23:T23"/>
    <mergeCell ref="U23:Y23"/>
    <mergeCell ref="Z23:AE23"/>
    <mergeCell ref="D12:AE12"/>
    <mergeCell ref="K17:Q17"/>
    <mergeCell ref="R17:W17"/>
    <mergeCell ref="D19:AE19"/>
    <mergeCell ref="E20:I20"/>
    <mergeCell ref="L20:P20"/>
    <mergeCell ref="S20:W20"/>
    <mergeCell ref="Z20:AD20"/>
    <mergeCell ref="X17:AE17"/>
    <mergeCell ref="Q57:S57"/>
    <mergeCell ref="I51:P51"/>
    <mergeCell ref="Q51:V51"/>
    <mergeCell ref="W51:AE51"/>
    <mergeCell ref="I52:P52"/>
    <mergeCell ref="Q52:V52"/>
    <mergeCell ref="W52:AE52"/>
    <mergeCell ref="H53:P53"/>
    <mergeCell ref="F56:K56"/>
    <mergeCell ref="O56:U56"/>
    <mergeCell ref="D52:H52"/>
    <mergeCell ref="X57:AD57"/>
    <mergeCell ref="X56:AD56"/>
    <mergeCell ref="I50:P50"/>
    <mergeCell ref="Q50:V50"/>
    <mergeCell ref="W50:AE50"/>
    <mergeCell ref="Y48:AE48"/>
    <mergeCell ref="Y41:AE41"/>
    <mergeCell ref="Q49:V49"/>
    <mergeCell ref="D44:AE44"/>
    <mergeCell ref="D47:AE47"/>
    <mergeCell ref="D41:I41"/>
    <mergeCell ref="J41:P41"/>
    <mergeCell ref="J49:P49"/>
    <mergeCell ref="D37:AE37"/>
    <mergeCell ref="W49:AE49"/>
    <mergeCell ref="R38:S38"/>
    <mergeCell ref="D40:AE40"/>
    <mergeCell ref="T38:AA38"/>
    <mergeCell ref="H38:Q38"/>
    <mergeCell ref="D38:G38"/>
    <mergeCell ref="D34:AE34"/>
    <mergeCell ref="K24:T24"/>
    <mergeCell ref="U24:Y24"/>
    <mergeCell ref="Z24:AE24"/>
    <mergeCell ref="I32:P32"/>
    <mergeCell ref="D32:H32"/>
    <mergeCell ref="W32:AE32"/>
    <mergeCell ref="D26:AE26"/>
    <mergeCell ref="H27:O27"/>
    <mergeCell ref="T27:AE27"/>
    <mergeCell ref="J28:O28"/>
    <mergeCell ref="T28:AE28"/>
    <mergeCell ref="D30:AE30"/>
    <mergeCell ref="D31:L31"/>
  </mergeCells>
  <conditionalFormatting sqref="W32:AE32">
    <cfRule type="expression" dxfId="9" priority="9">
      <formula>ISBLANK($I$32)=TRUE</formula>
    </cfRule>
    <cfRule type="expression" dxfId="8" priority="10">
      <formula>COUNTIF(INDIRECT(I32),$W$32)&lt;1</formula>
    </cfRule>
  </conditionalFormatting>
  <conditionalFormatting sqref="K24:T24">
    <cfRule type="expression" dxfId="7" priority="7">
      <formula>COUNTIF(INDIRECT(M23),$K$24)&lt;1</formula>
    </cfRule>
    <cfRule type="expression" dxfId="6" priority="8">
      <formula>ISBLANK($M$23)=TRUE</formula>
    </cfRule>
  </conditionalFormatting>
  <conditionalFormatting sqref="X17">
    <cfRule type="expression" dxfId="5" priority="5">
      <formula>ISBLANK($K$17)=TRUE</formula>
    </cfRule>
    <cfRule type="expression" dxfId="4" priority="6">
      <formula>COUNTIF(INDIRECT(K17),$X$17)&lt;1</formula>
    </cfRule>
  </conditionalFormatting>
  <conditionalFormatting sqref="X15:AE15">
    <cfRule type="expression" dxfId="3" priority="3">
      <formula>COUNTIF(INDIRECT(J15),$X$15)&lt;1</formula>
    </cfRule>
    <cfRule type="expression" dxfId="2" priority="4">
      <formula>ISBLANK($J$15)=TRUE</formula>
    </cfRule>
  </conditionalFormatting>
  <conditionalFormatting sqref="W49:AE49">
    <cfRule type="expression" dxfId="1" priority="1">
      <formula>ISBLANK($J$49)=TRUE</formula>
    </cfRule>
    <cfRule type="expression" dxfId="0" priority="2">
      <formula>COUNTIF(INDIRECT(J49),$W$49)&lt;1</formula>
    </cfRule>
  </conditionalFormatting>
  <dataValidations count="5">
    <dataValidation type="list" allowBlank="1" showInputMessage="1" showErrorMessage="1" sqref="X15:AE15">
      <formula1>INDIRECT($J$15)</formula1>
    </dataValidation>
    <dataValidation type="list" showInputMessage="1" showErrorMessage="1" sqref="X17">
      <formula1>INDIRECT($K$17)</formula1>
    </dataValidation>
    <dataValidation type="list" showInputMessage="1" showErrorMessage="1" sqref="K24:T24">
      <formula1>INDIRECT($M$23)</formula1>
    </dataValidation>
    <dataValidation type="list" showInputMessage="1" showErrorMessage="1" sqref="W32:AE32">
      <formula1>INDIRECT($I$32)</formula1>
    </dataValidation>
    <dataValidation type="list" showInputMessage="1" showErrorMessage="1" sqref="W49">
      <formula1>INDIRECT($J$49)</formula1>
    </dataValidation>
  </dataValidations>
  <pageMargins left="0" right="0" top="0.19685039370078741" bottom="0.19685039370078741" header="0.19685039370078741" footer="0.19685039370078741"/>
  <pageSetup paperSize="14" scale="7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R">
                <anchor moveWithCells="1" sizeWithCells="1">
                  <from>
                    <xdr:col>0</xdr:col>
                    <xdr:colOff>314325</xdr:colOff>
                    <xdr:row>53</xdr:row>
                    <xdr:rowOff>95250</xdr:rowOff>
                  </from>
                  <to>
                    <xdr:col>2</xdr:col>
                    <xdr:colOff>209550</xdr:colOff>
                    <xdr:row>54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IMPIAR">
                <anchor moveWithCells="1" sizeWithCells="1">
                  <from>
                    <xdr:col>0</xdr:col>
                    <xdr:colOff>295275</xdr:colOff>
                    <xdr:row>55</xdr:row>
                    <xdr:rowOff>28575</xdr:rowOff>
                  </from>
                  <to>
                    <xdr:col>2</xdr:col>
                    <xdr:colOff>209550</xdr:colOff>
                    <xdr:row>56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showInputMessage="1" showErrorMessage="1">
          <x14:formula1>
            <xm:f>Hoja3!$E$4:$E$5</xm:f>
          </x14:formula1>
          <xm:sqref>N48 O10:O11 S10 AC10 AE10 P35 H14 L14 J14 N14 N16 Q14 J16 N31 P31 N35 Q48 AE38 N42 P42 I45 S45 AA45 H48 J48 L48 Q11 V10</xm:sqref>
        </x14:dataValidation>
        <x14:dataValidation type="list" showInputMessage="1" showErrorMessage="1">
          <x14:formula1>
            <xm:f>Hoja3!$A$2:$A$17</xm:f>
          </x14:formula1>
          <xm:sqref>H6:S6</xm:sqref>
        </x14:dataValidation>
        <x14:dataValidation type="list" showInputMessage="1" showErrorMessage="1">
          <x14:formula1>
            <xm:f>Hoja3!$B$2:$B$21</xm:f>
          </x14:formula1>
          <xm:sqref>L7:U7</xm:sqref>
        </x14:dataValidation>
        <x14:dataValidation type="list" allowBlank="1" showInputMessage="1" showErrorMessage="1">
          <x14:formula1>
            <xm:f>Hoja3!$C$2:$C$6</xm:f>
          </x14:formula1>
          <xm:sqref>Y6:AE6</xm:sqref>
        </x14:dataValidation>
        <x14:dataValidation type="list" showInputMessage="1" showErrorMessage="1">
          <x14:formula1>
            <xm:f>Hoja3!$D$2:$D$14</xm:f>
          </x14:formula1>
          <xm:sqref>Y7:AE7</xm:sqref>
        </x14:dataValidation>
        <x14:dataValidation type="list" allowBlank="1" showInputMessage="1" showErrorMessage="1">
          <x14:formula1>
            <xm:f>Hoja3!$E$2:$E$3</xm:f>
          </x14:formula1>
          <xm:sqref>Y8:AE8</xm:sqref>
        </x14:dataValidation>
        <x14:dataValidation type="list" showInputMessage="1" showErrorMessage="1">
          <x14:formula1>
            <xm:f>Hoja3!$F$3:$F$4</xm:f>
          </x14:formula1>
          <xm:sqref>Z24</xm:sqref>
        </x14:dataValidation>
        <x14:dataValidation type="list" showInputMessage="1" showErrorMessage="1">
          <x14:formula1>
            <xm:f>Hoja3!$G$2:$G$8</xm:f>
          </x14:formula1>
          <xm:sqref>AA35 W35</xm:sqref>
        </x14:dataValidation>
        <x14:dataValidation type="list" showInputMessage="1" showErrorMessage="1">
          <x14:formula1>
            <xm:f>Hoja3!$H$3:$H$11</xm:f>
          </x14:formula1>
          <xm:sqref>H53:P53</xm:sqref>
        </x14:dataValidation>
        <x14:dataValidation type="list" allowBlank="1" showInputMessage="1" showErrorMessage="1">
          <x14:formula1>
            <xm:f>Hoja3!$I$24:$I$57</xm:f>
          </x14:formula1>
          <xm:sqref>J15:Q15</xm:sqref>
        </x14:dataValidation>
        <x14:dataValidation type="list" showInputMessage="1" showErrorMessage="1">
          <x14:formula1>
            <xm:f>Hoja3!$I$24:$I$57</xm:f>
          </x14:formula1>
          <xm:sqref>K17:Q17 J49:P49 I32:P32 M23:T23</xm:sqref>
        </x14:dataValidation>
        <x14:dataValidation type="list" showInputMessage="1" showErrorMessage="1">
          <x14:formula1>
            <xm:f>Hoja3!$K$2:$K$13</xm:f>
          </x14:formula1>
          <xm:sqref>J41:P41</xm:sqref>
        </x14:dataValidation>
        <x14:dataValidation type="list" showInputMessage="1" showErrorMessage="1">
          <x14:formula1>
            <xm:f>Hoja3!$N$2:$N$7</xm:f>
          </x14:formula1>
          <xm:sqref>Y41:AE41</xm:sqref>
        </x14:dataValidation>
        <x14:dataValidation type="list" showInputMessage="1" showErrorMessage="1">
          <x14:formula1>
            <xm:f>Hoja3!$R$2:$R$10</xm:f>
          </x14:formula1>
          <xm:sqref>J28:O28</xm:sqref>
        </x14:dataValidation>
        <x14:dataValidation type="list" showInputMessage="1" showErrorMessage="1">
          <x14:formula1>
            <xm:f>Hoja3!$AG$3:$AG$647</xm:f>
          </x14:formula1>
          <xm:sqref>H38</xm:sqref>
        </x14:dataValidation>
        <x14:dataValidation type="list" showInputMessage="1" showErrorMessage="1">
          <x14:formula1>
            <xm:f>Hoja3!$AJ$3:$AJ$88</xm:f>
          </x14:formula1>
          <xm:sqref>T38:AA38</xm:sqref>
        </x14:dataValidation>
        <x14:dataValidation type="list" allowBlank="1" showInputMessage="1" showErrorMessage="1">
          <x14:formula1>
            <xm:f>OFFSET(Hoja3!F24,0,,COUNTA(sedes))</xm:f>
          </x14:formula1>
          <xm:sqref>I8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0000"/>
  </sheetPr>
  <dimension ref="A1:AZ52"/>
  <sheetViews>
    <sheetView zoomScaleNormal="100" workbookViewId="0">
      <selection activeCell="A37" sqref="A37"/>
    </sheetView>
  </sheetViews>
  <sheetFormatPr baseColWidth="10" defaultRowHeight="15" x14ac:dyDescent="0.25"/>
  <cols>
    <col min="1" max="1" width="18.140625" style="47" bestFit="1" customWidth="1"/>
    <col min="2" max="2" width="19.7109375" style="47" bestFit="1" customWidth="1"/>
    <col min="3" max="3" width="17.7109375" style="47" bestFit="1" customWidth="1"/>
    <col min="4" max="4" width="18.140625" style="47" bestFit="1" customWidth="1"/>
    <col min="5" max="5" width="11.140625" style="47" bestFit="1" customWidth="1"/>
    <col min="6" max="6" width="10" style="47" bestFit="1" customWidth="1"/>
    <col min="7" max="10" width="17" style="47" customWidth="1"/>
    <col min="11" max="11" width="20.42578125" style="47" customWidth="1"/>
    <col min="12" max="12" width="37" style="46" bestFit="1" customWidth="1"/>
    <col min="13" max="13" width="11.7109375" style="47" bestFit="1" customWidth="1"/>
    <col min="14" max="14" width="10.5703125" style="47" bestFit="1" customWidth="1"/>
    <col min="15" max="15" width="8.42578125" style="47" bestFit="1" customWidth="1"/>
    <col min="16" max="16" width="8.85546875" style="47" bestFit="1" customWidth="1"/>
    <col min="17" max="17" width="9.140625" style="47" bestFit="1" customWidth="1"/>
    <col min="18" max="18" width="10.42578125" style="47" bestFit="1" customWidth="1"/>
    <col min="19" max="19" width="10.85546875" style="47" bestFit="1" customWidth="1"/>
    <col min="20" max="20" width="19.7109375" style="47" bestFit="1" customWidth="1"/>
    <col min="21" max="21" width="20.140625" style="47" bestFit="1" customWidth="1"/>
    <col min="22" max="22" width="8.85546875" style="47" bestFit="1" customWidth="1"/>
    <col min="23" max="23" width="6.28515625" style="47" bestFit="1" customWidth="1"/>
    <col min="24" max="24" width="12.140625" style="47" bestFit="1" customWidth="1"/>
    <col min="25" max="25" width="9.5703125" style="47" bestFit="1" customWidth="1"/>
    <col min="26" max="26" width="10.140625" style="47" bestFit="1" customWidth="1"/>
    <col min="27" max="27" width="13.42578125" style="47" bestFit="1" customWidth="1"/>
    <col min="28" max="28" width="14.5703125" style="47" bestFit="1" customWidth="1"/>
    <col min="29" max="29" width="7.5703125" style="47" bestFit="1" customWidth="1"/>
    <col min="30" max="30" width="10.28515625" style="47" bestFit="1" customWidth="1"/>
    <col min="31" max="31" width="23.28515625" style="47" bestFit="1" customWidth="1"/>
    <col min="32" max="32" width="22.7109375" style="47" bestFit="1" customWidth="1"/>
    <col min="33" max="33" width="13.42578125" style="47" bestFit="1" customWidth="1"/>
    <col min="34" max="35" width="10.85546875" style="47" bestFit="1" customWidth="1"/>
    <col min="36" max="36" width="6.140625" style="47" bestFit="1" customWidth="1"/>
    <col min="37" max="37" width="7.140625" style="47" bestFit="1" customWidth="1"/>
    <col min="38" max="38" width="10.42578125" style="47" bestFit="1" customWidth="1"/>
    <col min="39" max="39" width="10.85546875" style="47" bestFit="1" customWidth="1"/>
    <col min="40" max="41" width="10.42578125" style="47" bestFit="1" customWidth="1"/>
    <col min="42" max="42" width="10" style="47" bestFit="1" customWidth="1"/>
    <col min="43" max="43" width="10.5703125" style="47" bestFit="1" customWidth="1"/>
    <col min="44" max="44" width="8.7109375" style="47" bestFit="1" customWidth="1"/>
    <col min="45" max="45" width="10" style="47" bestFit="1" customWidth="1"/>
    <col min="46" max="46" width="29.42578125" style="108" bestFit="1" customWidth="1"/>
    <col min="47" max="52" width="11.42578125" style="108"/>
    <col min="53" max="16384" width="11.42578125" style="47"/>
  </cols>
  <sheetData>
    <row r="1" spans="1:52" s="49" customFormat="1" ht="15.75" thickBot="1" x14ac:dyDescent="0.3">
      <c r="A1" s="51" t="s">
        <v>522</v>
      </c>
      <c r="B1" s="51" t="s">
        <v>521</v>
      </c>
      <c r="C1" s="51" t="s">
        <v>1834</v>
      </c>
      <c r="D1" s="51" t="s">
        <v>522</v>
      </c>
      <c r="E1" s="51" t="s">
        <v>523</v>
      </c>
      <c r="F1" s="51" t="s">
        <v>524</v>
      </c>
      <c r="G1" s="51" t="s">
        <v>525</v>
      </c>
      <c r="H1" s="51" t="s">
        <v>526</v>
      </c>
      <c r="I1" s="51" t="s">
        <v>527</v>
      </c>
      <c r="J1" s="51" t="s">
        <v>528</v>
      </c>
      <c r="K1" s="51" t="s">
        <v>529</v>
      </c>
      <c r="L1" s="51" t="s">
        <v>530</v>
      </c>
      <c r="M1" s="51" t="s">
        <v>531</v>
      </c>
      <c r="N1" s="51" t="s">
        <v>532</v>
      </c>
      <c r="O1" s="51" t="s">
        <v>533</v>
      </c>
      <c r="P1" s="51" t="s">
        <v>534</v>
      </c>
      <c r="Q1" s="51" t="s">
        <v>535</v>
      </c>
      <c r="R1" s="51" t="s">
        <v>536</v>
      </c>
      <c r="S1" s="51" t="s">
        <v>537</v>
      </c>
      <c r="T1" s="51" t="s">
        <v>1836</v>
      </c>
      <c r="U1" s="51" t="s">
        <v>1853</v>
      </c>
      <c r="V1" s="51" t="s">
        <v>538</v>
      </c>
      <c r="W1" s="51" t="s">
        <v>539</v>
      </c>
      <c r="X1" s="51" t="s">
        <v>540</v>
      </c>
      <c r="Y1" s="51" t="s">
        <v>80</v>
      </c>
      <c r="Z1" s="51" t="s">
        <v>541</v>
      </c>
      <c r="AA1" s="51" t="s">
        <v>542</v>
      </c>
      <c r="AB1" s="51" t="s">
        <v>543</v>
      </c>
      <c r="AC1" s="51" t="s">
        <v>544</v>
      </c>
      <c r="AD1" s="51" t="s">
        <v>545</v>
      </c>
      <c r="AE1" s="51" t="s">
        <v>1854</v>
      </c>
      <c r="AF1" s="51" t="s">
        <v>1855</v>
      </c>
      <c r="AG1" s="51" t="s">
        <v>546</v>
      </c>
      <c r="AH1" s="51" t="s">
        <v>547</v>
      </c>
      <c r="AI1" s="51" t="s">
        <v>548</v>
      </c>
      <c r="AJ1" s="51" t="s">
        <v>549</v>
      </c>
      <c r="AK1" s="51" t="s">
        <v>550</v>
      </c>
      <c r="AL1" s="51" t="s">
        <v>525</v>
      </c>
      <c r="AM1" s="51" t="s">
        <v>526</v>
      </c>
      <c r="AN1" s="51" t="s">
        <v>527</v>
      </c>
      <c r="AO1" s="51" t="s">
        <v>528</v>
      </c>
      <c r="AP1" s="51" t="s">
        <v>1847</v>
      </c>
      <c r="AQ1" s="51" t="s">
        <v>551</v>
      </c>
      <c r="AR1" s="51" t="s">
        <v>552</v>
      </c>
      <c r="AS1" s="51" t="s">
        <v>524</v>
      </c>
      <c r="AT1" s="106"/>
      <c r="AU1" s="106"/>
      <c r="AV1" s="106"/>
      <c r="AW1" s="106"/>
      <c r="AX1" s="106"/>
      <c r="AY1" s="106"/>
      <c r="AZ1" s="106"/>
    </row>
    <row r="2" spans="1:52" s="48" customFormat="1" x14ac:dyDescent="0.25">
      <c r="A2" s="50"/>
      <c r="B2" s="50"/>
      <c r="C2" s="50"/>
      <c r="D2" s="50"/>
      <c r="E2" s="50"/>
      <c r="F2" s="50"/>
      <c r="G2" s="66"/>
      <c r="H2" s="66"/>
      <c r="I2" s="66"/>
      <c r="J2" s="66"/>
      <c r="K2" s="66"/>
      <c r="L2" s="53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  <c r="AP2" s="50"/>
      <c r="AQ2" s="50"/>
      <c r="AR2" s="50"/>
      <c r="AS2" s="50"/>
      <c r="AT2" s="107" t="str">
        <f t="shared" ref="AT2:AT22" si="0">G2&amp;H2&amp;I2&amp;J2</f>
        <v/>
      </c>
      <c r="AU2" s="107"/>
      <c r="AV2" s="107"/>
      <c r="AW2" s="107"/>
      <c r="AX2" s="107"/>
      <c r="AY2" s="107"/>
      <c r="AZ2" s="107"/>
    </row>
    <row r="3" spans="1:52" s="48" customFormat="1" x14ac:dyDescent="0.25">
      <c r="A3" s="50"/>
      <c r="B3" s="50"/>
      <c r="C3" s="50"/>
      <c r="D3" s="50"/>
      <c r="E3" s="50"/>
      <c r="F3" s="50"/>
      <c r="G3" s="66"/>
      <c r="H3" s="66"/>
      <c r="I3" s="66"/>
      <c r="J3" s="66"/>
      <c r="K3" s="66"/>
      <c r="L3" s="53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0"/>
      <c r="AT3" s="107" t="str">
        <f t="shared" si="0"/>
        <v/>
      </c>
      <c r="AU3" s="107"/>
      <c r="AV3" s="107"/>
      <c r="AW3" s="107"/>
      <c r="AX3" s="107"/>
      <c r="AY3" s="107"/>
      <c r="AZ3" s="107"/>
    </row>
    <row r="4" spans="1:52" x14ac:dyDescent="0.25">
      <c r="A4" s="50"/>
      <c r="B4" s="50"/>
      <c r="C4" s="50"/>
      <c r="D4" s="50"/>
      <c r="E4" s="50"/>
      <c r="F4" s="50"/>
      <c r="G4" s="66"/>
      <c r="H4" s="66"/>
      <c r="I4" s="66"/>
      <c r="J4" s="66"/>
      <c r="K4" s="66"/>
      <c r="L4" s="53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  <c r="AS4" s="50"/>
      <c r="AT4" s="107" t="str">
        <f t="shared" si="0"/>
        <v/>
      </c>
    </row>
    <row r="5" spans="1:52" x14ac:dyDescent="0.25">
      <c r="A5" s="113"/>
      <c r="B5" s="113"/>
      <c r="C5" s="113"/>
      <c r="D5" s="113"/>
      <c r="E5" s="113"/>
      <c r="F5" s="113"/>
      <c r="G5" s="114"/>
      <c r="H5" s="114"/>
      <c r="I5" s="114"/>
      <c r="J5" s="114"/>
      <c r="K5" s="114"/>
      <c r="L5" s="115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113"/>
      <c r="AE5" s="113"/>
      <c r="AF5" s="113"/>
      <c r="AG5" s="113"/>
      <c r="AH5" s="113"/>
      <c r="AI5" s="113"/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07" t="str">
        <f t="shared" si="0"/>
        <v/>
      </c>
    </row>
    <row r="6" spans="1:52" x14ac:dyDescent="0.25">
      <c r="A6" s="50"/>
      <c r="B6" s="50"/>
      <c r="C6" s="50"/>
      <c r="D6" s="50"/>
      <c r="E6" s="50"/>
      <c r="F6" s="50"/>
      <c r="G6" s="66"/>
      <c r="H6" s="66"/>
      <c r="I6" s="66"/>
      <c r="J6" s="66"/>
      <c r="K6" s="66"/>
      <c r="L6" s="53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107" t="str">
        <f t="shared" si="0"/>
        <v/>
      </c>
    </row>
    <row r="7" spans="1:52" x14ac:dyDescent="0.25">
      <c r="A7" s="52"/>
      <c r="B7" s="52"/>
      <c r="C7" s="52"/>
      <c r="D7" s="52"/>
      <c r="E7" s="52"/>
      <c r="F7" s="52"/>
      <c r="G7" s="66"/>
      <c r="H7" s="66"/>
      <c r="I7" s="66"/>
      <c r="J7" s="66"/>
      <c r="K7" s="66"/>
      <c r="L7" s="116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M7" s="52"/>
      <c r="AN7" s="52"/>
      <c r="AO7" s="52"/>
      <c r="AP7" s="52"/>
      <c r="AQ7" s="52"/>
      <c r="AR7" s="52"/>
      <c r="AS7" s="52"/>
      <c r="AT7" s="107" t="str">
        <f t="shared" si="0"/>
        <v/>
      </c>
    </row>
    <row r="8" spans="1:52" x14ac:dyDescent="0.25">
      <c r="A8" s="50"/>
      <c r="B8" s="50"/>
      <c r="C8" s="50"/>
      <c r="D8" s="50"/>
      <c r="E8" s="50"/>
      <c r="F8" s="50"/>
      <c r="G8" s="66"/>
      <c r="H8" s="66"/>
      <c r="I8" s="66"/>
      <c r="J8" s="66"/>
      <c r="K8" s="66"/>
      <c r="L8" s="53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107" t="str">
        <f t="shared" si="0"/>
        <v/>
      </c>
    </row>
    <row r="9" spans="1:52" x14ac:dyDescent="0.25">
      <c r="A9" s="50"/>
      <c r="B9" s="50"/>
      <c r="C9" s="50"/>
      <c r="D9" s="50"/>
      <c r="E9" s="50"/>
      <c r="F9" s="50"/>
      <c r="G9" s="66"/>
      <c r="H9" s="66"/>
      <c r="I9" s="66"/>
      <c r="J9" s="66"/>
      <c r="K9" s="66"/>
      <c r="L9" s="53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  <c r="AH9" s="50"/>
      <c r="AI9" s="50"/>
      <c r="AJ9" s="50"/>
      <c r="AK9" s="50"/>
      <c r="AL9" s="50"/>
      <c r="AM9" s="50"/>
      <c r="AN9" s="50"/>
      <c r="AO9" s="50"/>
      <c r="AP9" s="50"/>
      <c r="AQ9" s="50"/>
      <c r="AR9" s="50"/>
      <c r="AS9" s="50"/>
      <c r="AT9" s="107" t="str">
        <f t="shared" si="0"/>
        <v/>
      </c>
    </row>
    <row r="10" spans="1:52" x14ac:dyDescent="0.25">
      <c r="A10" s="50"/>
      <c r="B10" s="50"/>
      <c r="C10" s="50"/>
      <c r="D10" s="50"/>
      <c r="E10" s="50"/>
      <c r="F10" s="50"/>
      <c r="G10" s="66"/>
      <c r="H10" s="66"/>
      <c r="I10" s="66"/>
      <c r="J10" s="66"/>
      <c r="K10" s="66"/>
      <c r="L10" s="53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107" t="str">
        <f t="shared" si="0"/>
        <v/>
      </c>
    </row>
    <row r="11" spans="1:52" x14ac:dyDescent="0.25">
      <c r="A11" s="50"/>
      <c r="B11" s="50"/>
      <c r="C11" s="50"/>
      <c r="D11" s="50"/>
      <c r="E11" s="50"/>
      <c r="F11" s="50"/>
      <c r="G11" s="66"/>
      <c r="H11" s="66"/>
      <c r="I11" s="66"/>
      <c r="J11" s="66"/>
      <c r="K11" s="66"/>
      <c r="L11" s="53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107" t="str">
        <f t="shared" si="0"/>
        <v/>
      </c>
    </row>
    <row r="12" spans="1:52" x14ac:dyDescent="0.25">
      <c r="A12" s="50"/>
      <c r="B12" s="50"/>
      <c r="C12" s="50"/>
      <c r="D12" s="50"/>
      <c r="E12" s="50"/>
      <c r="F12" s="50"/>
      <c r="G12" s="66"/>
      <c r="H12" s="66"/>
      <c r="I12" s="66"/>
      <c r="J12" s="66"/>
      <c r="K12" s="66"/>
      <c r="L12" s="53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107" t="str">
        <f t="shared" si="0"/>
        <v/>
      </c>
    </row>
    <row r="13" spans="1:52" x14ac:dyDescent="0.25">
      <c r="A13" s="50"/>
      <c r="B13" s="50"/>
      <c r="C13" s="50"/>
      <c r="D13" s="50"/>
      <c r="E13" s="50"/>
      <c r="F13" s="50"/>
      <c r="G13" s="66"/>
      <c r="H13" s="66"/>
      <c r="I13" s="66"/>
      <c r="J13" s="66"/>
      <c r="K13" s="66"/>
      <c r="L13" s="53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107" t="str">
        <f t="shared" si="0"/>
        <v/>
      </c>
    </row>
    <row r="14" spans="1:52" x14ac:dyDescent="0.25">
      <c r="A14" s="50"/>
      <c r="B14" s="50"/>
      <c r="C14" s="50"/>
      <c r="D14" s="50"/>
      <c r="E14" s="50"/>
      <c r="F14" s="50"/>
      <c r="G14" s="66"/>
      <c r="H14" s="66"/>
      <c r="I14" s="66"/>
      <c r="J14" s="66"/>
      <c r="K14" s="66"/>
      <c r="L14" s="53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107" t="str">
        <f t="shared" si="0"/>
        <v/>
      </c>
    </row>
    <row r="15" spans="1:52" x14ac:dyDescent="0.25">
      <c r="A15" s="50"/>
      <c r="B15" s="50"/>
      <c r="C15" s="50"/>
      <c r="D15" s="50"/>
      <c r="E15" s="50"/>
      <c r="F15" s="50"/>
      <c r="G15" s="66"/>
      <c r="H15" s="66"/>
      <c r="I15" s="66"/>
      <c r="J15" s="66"/>
      <c r="K15" s="66"/>
      <c r="L15" s="53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107" t="str">
        <f t="shared" si="0"/>
        <v/>
      </c>
    </row>
    <row r="16" spans="1:52" x14ac:dyDescent="0.25">
      <c r="A16" s="50"/>
      <c r="B16" s="50"/>
      <c r="C16" s="50"/>
      <c r="D16" s="50"/>
      <c r="E16" s="50"/>
      <c r="F16" s="50"/>
      <c r="G16" s="66"/>
      <c r="H16" s="66"/>
      <c r="I16" s="66"/>
      <c r="J16" s="66"/>
      <c r="K16" s="66"/>
      <c r="L16" s="53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107" t="str">
        <f t="shared" si="0"/>
        <v/>
      </c>
    </row>
    <row r="17" spans="1:46" x14ac:dyDescent="0.25">
      <c r="A17" s="50"/>
      <c r="B17" s="50"/>
      <c r="C17" s="50"/>
      <c r="D17" s="50"/>
      <c r="E17" s="50"/>
      <c r="F17" s="50"/>
      <c r="G17" s="66"/>
      <c r="H17" s="66"/>
      <c r="I17" s="66"/>
      <c r="J17" s="66"/>
      <c r="K17" s="66"/>
      <c r="L17" s="53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107" t="str">
        <f t="shared" si="0"/>
        <v/>
      </c>
    </row>
    <row r="18" spans="1:46" x14ac:dyDescent="0.25">
      <c r="A18" s="50"/>
      <c r="B18" s="50"/>
      <c r="C18" s="50"/>
      <c r="D18" s="50"/>
      <c r="E18" s="50"/>
      <c r="F18" s="50"/>
      <c r="G18" s="66"/>
      <c r="H18" s="66"/>
      <c r="I18" s="66"/>
      <c r="J18" s="66"/>
      <c r="K18" s="66"/>
      <c r="L18" s="53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107" t="str">
        <f t="shared" si="0"/>
        <v/>
      </c>
    </row>
    <row r="19" spans="1:46" x14ac:dyDescent="0.25">
      <c r="A19" s="50"/>
      <c r="B19" s="50"/>
      <c r="C19" s="50"/>
      <c r="D19" s="50"/>
      <c r="E19" s="50"/>
      <c r="F19" s="50"/>
      <c r="G19" s="66"/>
      <c r="H19" s="66"/>
      <c r="I19" s="66"/>
      <c r="J19" s="66"/>
      <c r="K19" s="66"/>
      <c r="L19" s="53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107" t="str">
        <f t="shared" si="0"/>
        <v/>
      </c>
    </row>
    <row r="20" spans="1:46" x14ac:dyDescent="0.25">
      <c r="A20" s="50"/>
      <c r="B20" s="50"/>
      <c r="C20" s="50"/>
      <c r="D20" s="50"/>
      <c r="E20" s="50"/>
      <c r="F20" s="50"/>
      <c r="G20" s="66"/>
      <c r="H20" s="66"/>
      <c r="I20" s="66"/>
      <c r="J20" s="66"/>
      <c r="K20" s="66"/>
      <c r="L20" s="53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107" t="str">
        <f t="shared" si="0"/>
        <v/>
      </c>
    </row>
    <row r="21" spans="1:46" x14ac:dyDescent="0.25">
      <c r="A21" s="50"/>
      <c r="B21" s="50"/>
      <c r="C21" s="50"/>
      <c r="D21" s="50"/>
      <c r="E21" s="50"/>
      <c r="F21" s="50"/>
      <c r="G21" s="66"/>
      <c r="H21" s="66"/>
      <c r="I21" s="66"/>
      <c r="J21" s="66"/>
      <c r="K21" s="66"/>
      <c r="L21" s="53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107" t="str">
        <f t="shared" si="0"/>
        <v/>
      </c>
    </row>
    <row r="22" spans="1:46" x14ac:dyDescent="0.25">
      <c r="A22" s="50"/>
      <c r="B22" s="50"/>
      <c r="C22" s="50"/>
      <c r="D22" s="50"/>
      <c r="E22" s="50"/>
      <c r="F22" s="50"/>
      <c r="G22" s="66"/>
      <c r="H22" s="66"/>
      <c r="I22" s="66"/>
      <c r="J22" s="66"/>
      <c r="K22" s="66"/>
      <c r="L22" s="53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107" t="str">
        <f t="shared" si="0"/>
        <v/>
      </c>
    </row>
    <row r="23" spans="1:46" s="108" customFormat="1" x14ac:dyDescent="0.25">
      <c r="L23" s="109"/>
    </row>
    <row r="24" spans="1:46" s="108" customFormat="1" x14ac:dyDescent="0.25">
      <c r="L24" s="109"/>
    </row>
    <row r="25" spans="1:46" s="108" customFormat="1" x14ac:dyDescent="0.25">
      <c r="L25" s="109"/>
    </row>
    <row r="26" spans="1:46" s="108" customFormat="1" x14ac:dyDescent="0.25">
      <c r="L26" s="109"/>
    </row>
    <row r="27" spans="1:46" s="108" customFormat="1" x14ac:dyDescent="0.25">
      <c r="L27" s="109"/>
    </row>
    <row r="28" spans="1:46" s="108" customFormat="1" x14ac:dyDescent="0.25">
      <c r="L28" s="109"/>
    </row>
    <row r="29" spans="1:46" s="108" customFormat="1" x14ac:dyDescent="0.25">
      <c r="L29" s="109"/>
    </row>
    <row r="30" spans="1:46" s="108" customFormat="1" x14ac:dyDescent="0.25">
      <c r="L30" s="109"/>
    </row>
    <row r="31" spans="1:46" s="108" customFormat="1" x14ac:dyDescent="0.25">
      <c r="L31" s="109"/>
    </row>
    <row r="32" spans="1:46" s="108" customFormat="1" x14ac:dyDescent="0.25">
      <c r="L32" s="109"/>
    </row>
    <row r="33" spans="12:12" s="108" customFormat="1" x14ac:dyDescent="0.25">
      <c r="L33" s="109"/>
    </row>
    <row r="34" spans="12:12" s="108" customFormat="1" x14ac:dyDescent="0.25">
      <c r="L34" s="109"/>
    </row>
    <row r="35" spans="12:12" s="108" customFormat="1" x14ac:dyDescent="0.25">
      <c r="L35" s="109"/>
    </row>
    <row r="36" spans="12:12" s="108" customFormat="1" x14ac:dyDescent="0.25">
      <c r="L36" s="109"/>
    </row>
    <row r="37" spans="12:12" s="108" customFormat="1" x14ac:dyDescent="0.25">
      <c r="L37" s="109"/>
    </row>
    <row r="38" spans="12:12" s="108" customFormat="1" x14ac:dyDescent="0.25">
      <c r="L38" s="109"/>
    </row>
    <row r="39" spans="12:12" s="108" customFormat="1" x14ac:dyDescent="0.25">
      <c r="L39" s="109"/>
    </row>
    <row r="40" spans="12:12" s="108" customFormat="1" x14ac:dyDescent="0.25">
      <c r="L40" s="109"/>
    </row>
    <row r="41" spans="12:12" s="108" customFormat="1" x14ac:dyDescent="0.25">
      <c r="L41" s="109"/>
    </row>
    <row r="42" spans="12:12" s="108" customFormat="1" x14ac:dyDescent="0.25">
      <c r="L42" s="109"/>
    </row>
    <row r="43" spans="12:12" s="108" customFormat="1" x14ac:dyDescent="0.25">
      <c r="L43" s="109"/>
    </row>
    <row r="44" spans="12:12" s="108" customFormat="1" x14ac:dyDescent="0.25">
      <c r="L44" s="109"/>
    </row>
    <row r="45" spans="12:12" s="108" customFormat="1" x14ac:dyDescent="0.25">
      <c r="L45" s="109"/>
    </row>
    <row r="46" spans="12:12" s="108" customFormat="1" x14ac:dyDescent="0.25">
      <c r="L46" s="109"/>
    </row>
    <row r="47" spans="12:12" s="108" customFormat="1" x14ac:dyDescent="0.25">
      <c r="L47" s="109"/>
    </row>
    <row r="48" spans="12:12" s="108" customFormat="1" x14ac:dyDescent="0.25">
      <c r="L48" s="109"/>
    </row>
    <row r="49" spans="12:12" s="108" customFormat="1" x14ac:dyDescent="0.25">
      <c r="L49" s="109"/>
    </row>
    <row r="50" spans="12:12" s="108" customFormat="1" x14ac:dyDescent="0.25">
      <c r="L50" s="109"/>
    </row>
    <row r="51" spans="12:12" s="108" customFormat="1" x14ac:dyDescent="0.25">
      <c r="L51" s="109"/>
    </row>
    <row r="52" spans="12:12" s="108" customFormat="1" x14ac:dyDescent="0.25">
      <c r="L52" s="109"/>
    </row>
  </sheetData>
  <sheetProtection sort="0" autoFilter="0"/>
  <autoFilter ref="A1:AT22">
    <sortState ref="A2:AT22">
      <sortCondition ref="K1:K22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A1:BA31"/>
  <sheetViews>
    <sheetView view="pageBreakPreview" zoomScale="70" zoomScaleNormal="74" zoomScaleSheetLayoutView="70" workbookViewId="0">
      <selection activeCell="T5" sqref="T5"/>
    </sheetView>
  </sheetViews>
  <sheetFormatPr baseColWidth="10" defaultRowHeight="12.75" x14ac:dyDescent="0.2"/>
  <cols>
    <col min="1" max="1" width="49.5703125" style="3" customWidth="1"/>
    <col min="2" max="2" width="8.140625" style="3" customWidth="1"/>
    <col min="3" max="3" width="21.5703125" style="3" bestFit="1" customWidth="1"/>
    <col min="4" max="4" width="4.42578125" style="9" customWidth="1"/>
    <col min="5" max="5" width="6.85546875" style="9" customWidth="1"/>
    <col min="6" max="9" width="19.7109375" style="3" customWidth="1"/>
    <col min="10" max="10" width="5.7109375" style="3" customWidth="1"/>
    <col min="11" max="11" width="23.42578125" style="3" bestFit="1" customWidth="1"/>
    <col min="12" max="12" width="5.140625" style="3" customWidth="1"/>
    <col min="13" max="13" width="6.140625" style="3" customWidth="1"/>
    <col min="14" max="14" width="4.5703125" style="5" customWidth="1"/>
    <col min="15" max="15" width="5.140625" style="3" customWidth="1"/>
    <col min="16" max="16" width="6" style="7" customWidth="1"/>
    <col min="17" max="17" width="6.85546875" style="7" customWidth="1"/>
    <col min="18" max="19" width="5.140625" style="3" customWidth="1"/>
    <col min="20" max="20" width="6.7109375" style="3" customWidth="1"/>
    <col min="21" max="21" width="13.140625" style="37" customWidth="1"/>
    <col min="22" max="41" width="13.140625" style="36" customWidth="1"/>
    <col min="42" max="42" width="9.28515625" style="36" bestFit="1" customWidth="1"/>
    <col min="43" max="43" width="3.28515625" style="36" bestFit="1" customWidth="1"/>
    <col min="44" max="44" width="11.5703125" style="36" bestFit="1" customWidth="1"/>
    <col min="45" max="48" width="11.42578125" style="17"/>
    <col min="49" max="16384" width="11.42578125" style="3"/>
  </cols>
  <sheetData>
    <row r="1" spans="1:48" ht="42.75" customHeight="1" x14ac:dyDescent="0.2">
      <c r="A1" s="145" t="s">
        <v>1833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</row>
    <row r="2" spans="1:48" ht="24.75" customHeight="1" x14ac:dyDescent="0.2">
      <c r="A2" s="145" t="s">
        <v>518</v>
      </c>
      <c r="B2" s="145" t="s">
        <v>519</v>
      </c>
      <c r="C2" s="145" t="s">
        <v>519</v>
      </c>
      <c r="D2" s="145" t="s">
        <v>519</v>
      </c>
      <c r="E2" s="145" t="s">
        <v>519</v>
      </c>
      <c r="F2" s="145" t="s">
        <v>519</v>
      </c>
      <c r="G2" s="145" t="s">
        <v>519</v>
      </c>
      <c r="H2" s="145" t="s">
        <v>519</v>
      </c>
      <c r="I2" s="145" t="s">
        <v>519</v>
      </c>
      <c r="J2" s="145" t="s">
        <v>519</v>
      </c>
      <c r="K2" s="145" t="s">
        <v>519</v>
      </c>
      <c r="L2" s="145" t="s">
        <v>519</v>
      </c>
      <c r="M2" s="145" t="s">
        <v>519</v>
      </c>
      <c r="N2" s="145" t="s">
        <v>519</v>
      </c>
      <c r="O2" s="145" t="s">
        <v>519</v>
      </c>
      <c r="P2" s="145" t="s">
        <v>519</v>
      </c>
      <c r="Q2" s="145" t="s">
        <v>519</v>
      </c>
      <c r="R2" s="145" t="s">
        <v>519</v>
      </c>
      <c r="S2" s="145" t="s">
        <v>519</v>
      </c>
      <c r="T2" s="145"/>
      <c r="U2" s="145"/>
    </row>
    <row r="3" spans="1:48" ht="33.75" customHeight="1" x14ac:dyDescent="0.2">
      <c r="A3" s="146" t="s">
        <v>1835</v>
      </c>
      <c r="B3" s="146" t="s">
        <v>520</v>
      </c>
      <c r="C3" s="146" t="s">
        <v>520</v>
      </c>
      <c r="D3" s="146" t="s">
        <v>520</v>
      </c>
      <c r="E3" s="146" t="s">
        <v>520</v>
      </c>
      <c r="F3" s="146" t="s">
        <v>520</v>
      </c>
      <c r="G3" s="146" t="s">
        <v>520</v>
      </c>
      <c r="H3" s="146" t="s">
        <v>520</v>
      </c>
      <c r="I3" s="146" t="s">
        <v>520</v>
      </c>
      <c r="J3" s="146" t="s">
        <v>520</v>
      </c>
      <c r="K3" s="146" t="s">
        <v>520</v>
      </c>
      <c r="L3" s="146" t="s">
        <v>520</v>
      </c>
      <c r="M3" s="146" t="s">
        <v>520</v>
      </c>
      <c r="N3" s="146" t="s">
        <v>520</v>
      </c>
      <c r="O3" s="146" t="s">
        <v>520</v>
      </c>
      <c r="P3" s="146" t="s">
        <v>520</v>
      </c>
      <c r="Q3" s="146" t="s">
        <v>520</v>
      </c>
      <c r="R3" s="146" t="s">
        <v>520</v>
      </c>
      <c r="S3" s="146" t="s">
        <v>520</v>
      </c>
      <c r="T3" s="146"/>
      <c r="U3" s="146"/>
    </row>
    <row r="4" spans="1:48" s="63" customFormat="1" ht="102.75" customHeight="1" x14ac:dyDescent="0.25">
      <c r="A4" s="54" t="s">
        <v>521</v>
      </c>
      <c r="B4" s="55" t="s">
        <v>1834</v>
      </c>
      <c r="C4" s="56" t="s">
        <v>522</v>
      </c>
      <c r="D4" s="57" t="s">
        <v>523</v>
      </c>
      <c r="E4" s="58" t="s">
        <v>524</v>
      </c>
      <c r="F4" s="56" t="s">
        <v>525</v>
      </c>
      <c r="G4" s="56" t="s">
        <v>526</v>
      </c>
      <c r="H4" s="56" t="s">
        <v>527</v>
      </c>
      <c r="I4" s="56" t="s">
        <v>528</v>
      </c>
      <c r="J4" s="59" t="s">
        <v>529</v>
      </c>
      <c r="K4" s="60" t="s">
        <v>530</v>
      </c>
      <c r="L4" s="57" t="s">
        <v>531</v>
      </c>
      <c r="M4" s="58" t="s">
        <v>532</v>
      </c>
      <c r="N4" s="57" t="s">
        <v>533</v>
      </c>
      <c r="O4" s="57" t="s">
        <v>534</v>
      </c>
      <c r="P4" s="58" t="s">
        <v>535</v>
      </c>
      <c r="Q4" s="58" t="s">
        <v>536</v>
      </c>
      <c r="R4" s="57" t="s">
        <v>537</v>
      </c>
      <c r="S4" s="55" t="s">
        <v>1836</v>
      </c>
      <c r="T4" s="55" t="s">
        <v>1853</v>
      </c>
      <c r="U4" s="61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</row>
    <row r="5" spans="1:48" s="35" customFormat="1" ht="29.25" customHeight="1" x14ac:dyDescent="0.25">
      <c r="A5" s="29" t="str">
        <f>IFERROR(IF(ISBLANK(Hoja2!B2)=TRUE," ",Hoja2!B2)," ")</f>
        <v xml:space="preserve"> </v>
      </c>
      <c r="B5" s="29" t="str">
        <f>IFERROR(IF(ISBLANK(Hoja2!C2)=TRUE," ",Hoja2!C2)," ")</f>
        <v xml:space="preserve"> </v>
      </c>
      <c r="C5" s="29" t="str">
        <f>IFERROR(IF(ISBLANK(Hoja2!D2)=TRUE," ",Hoja2!D2)," ")</f>
        <v xml:space="preserve"> </v>
      </c>
      <c r="D5" s="29" t="str">
        <f>IFERROR(IF(ISBLANK(Hoja2!E2)=TRUE," ",Hoja2!E2)," ")</f>
        <v xml:space="preserve"> </v>
      </c>
      <c r="E5" s="29" t="str">
        <f>IFERROR(IF(ISBLANK(Hoja2!F2)=TRUE," ",Hoja2!F2)," ")</f>
        <v xml:space="preserve"> </v>
      </c>
      <c r="F5" s="29" t="str">
        <f>IFERROR(IF(ISBLANK(Hoja2!G2)=TRUE," ",Hoja2!G2)," ")</f>
        <v xml:space="preserve"> </v>
      </c>
      <c r="G5" s="29" t="str">
        <f>IFERROR(IF(ISBLANK(Hoja2!H2)=TRUE," ",Hoja2!H2)," ")</f>
        <v xml:space="preserve"> </v>
      </c>
      <c r="H5" s="29" t="str">
        <f>IFERROR(IF(ISBLANK(Hoja2!I2)=TRUE," ",Hoja2!I2)," ")</f>
        <v xml:space="preserve"> </v>
      </c>
      <c r="I5" s="29" t="str">
        <f>IFERROR(IF(ISBLANK(Hoja2!J2)=TRUE," ",Hoja2!J2)," ")</f>
        <v xml:space="preserve"> </v>
      </c>
      <c r="J5" s="29" t="str">
        <f>IFERROR(IF(ISBLANK(Hoja2!K2)=TRUE," ",Hoja2!K2)," ")</f>
        <v xml:space="preserve"> </v>
      </c>
      <c r="K5" s="29" t="str">
        <f>IFERROR(IF(ISBLANK(Hoja2!L2)=TRUE," ",Hoja2!L2)," ")</f>
        <v xml:space="preserve"> </v>
      </c>
      <c r="L5" s="29" t="str">
        <f>IFERROR(IF(ISBLANK(Hoja2!M2)=TRUE," ",Hoja2!M2)," ")</f>
        <v xml:space="preserve"> </v>
      </c>
      <c r="M5" s="29" t="str">
        <f>IFERROR(IF(ISBLANK(Hoja2!N2)=TRUE," ",Hoja2!N2)," ")</f>
        <v xml:space="preserve"> </v>
      </c>
      <c r="N5" s="29" t="str">
        <f>IFERROR(IF(ISBLANK(Hoja2!O2)=TRUE," ",Hoja2!O2)," ")</f>
        <v xml:space="preserve"> </v>
      </c>
      <c r="O5" s="29" t="str">
        <f>IFERROR(IF(ISBLANK(Hoja2!P2)=TRUE," ",Hoja2!P2)," ")</f>
        <v xml:space="preserve"> </v>
      </c>
      <c r="P5" s="29" t="str">
        <f>IFERROR(IF(ISBLANK(Hoja2!Q2)=TRUE," ",Hoja2!Q2)," ")</f>
        <v xml:space="preserve"> </v>
      </c>
      <c r="Q5" s="29" t="str">
        <f>IFERROR(IF(ISBLANK(Hoja2!R2)=TRUE," ",Hoja2!R2)," ")</f>
        <v xml:space="preserve"> </v>
      </c>
      <c r="R5" s="29" t="str">
        <f>IFERROR(IF(ISBLANK(Hoja2!S2)=TRUE," ",Hoja2!S2)," ")</f>
        <v xml:space="preserve"> </v>
      </c>
      <c r="S5" s="29" t="str">
        <f>IFERROR(IF(ISBLANK(Hoja2!T2)=TRUE," ",Hoja2!T2)," ")</f>
        <v xml:space="preserve"> </v>
      </c>
      <c r="T5" s="29" t="str">
        <f>IFERROR(IF(ISBLANK(Hoja2!U2)=TRUE," ",Hoja2!U2)," ")</f>
        <v xml:space="preserve"> </v>
      </c>
      <c r="U5" s="33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1:48" s="35" customFormat="1" ht="29.25" customHeight="1" x14ac:dyDescent="0.25">
      <c r="A6" s="29" t="str">
        <f>IF(ISBLANK(Hoja2!B3)=TRUE," ",Hoja2!B3)</f>
        <v xml:space="preserve"> </v>
      </c>
      <c r="B6" s="29" t="str">
        <f>IF(ISBLANK(Hoja2!C3)=TRUE," ",Hoja2!C3)</f>
        <v xml:space="preserve"> </v>
      </c>
      <c r="C6" s="29" t="str">
        <f>IF(ISBLANK(Hoja2!D3)=TRUE," ",Hoja2!D3)</f>
        <v xml:space="preserve"> </v>
      </c>
      <c r="D6" s="29" t="str">
        <f>IF(ISBLANK(Hoja2!E3)=TRUE," ",Hoja2!E3)</f>
        <v xml:space="preserve"> </v>
      </c>
      <c r="E6" s="29" t="str">
        <f>IF(ISBLANK(Hoja2!F3)=TRUE," ",Hoja2!F3)</f>
        <v xml:space="preserve"> </v>
      </c>
      <c r="F6" s="29" t="str">
        <f>IF(ISBLANK(Hoja2!G3)=TRUE," ",Hoja2!G3)</f>
        <v xml:space="preserve"> </v>
      </c>
      <c r="G6" s="29" t="str">
        <f>IF(ISBLANK(Hoja2!H3)=TRUE," ",Hoja2!H3)</f>
        <v xml:space="preserve"> </v>
      </c>
      <c r="H6" s="29" t="str">
        <f>IF(ISBLANK(Hoja2!I3)=TRUE," ",Hoja2!I3)</f>
        <v xml:space="preserve"> </v>
      </c>
      <c r="I6" s="29" t="str">
        <f>IF(ISBLANK(Hoja2!J3)=TRUE," ",Hoja2!J3)</f>
        <v xml:space="preserve"> </v>
      </c>
      <c r="J6" s="29" t="str">
        <f>IF(ISBLANK(Hoja2!K3)=TRUE," ",Hoja2!K3)</f>
        <v xml:space="preserve"> </v>
      </c>
      <c r="K6" s="29" t="str">
        <f>IF(ISBLANK(Hoja2!L3)=TRUE," ",Hoja2!L3)</f>
        <v xml:space="preserve"> </v>
      </c>
      <c r="L6" s="29" t="str">
        <f>IF(ISBLANK(Hoja2!M3)=TRUE," ",Hoja2!M3)</f>
        <v xml:space="preserve"> </v>
      </c>
      <c r="M6" s="29" t="str">
        <f>IF(ISBLANK(Hoja2!N3)=TRUE," ",Hoja2!N3)</f>
        <v xml:space="preserve"> </v>
      </c>
      <c r="N6" s="29" t="str">
        <f>IF(ISBLANK(Hoja2!O3)=TRUE," ",Hoja2!O3)</f>
        <v xml:space="preserve"> </v>
      </c>
      <c r="O6" s="29" t="str">
        <f>IF(ISBLANK(Hoja2!P3)=TRUE," ",Hoja2!P3)</f>
        <v xml:space="preserve"> </v>
      </c>
      <c r="P6" s="29" t="str">
        <f>IF(ISBLANK(Hoja2!Q3)=TRUE," ",Hoja2!Q3)</f>
        <v xml:space="preserve"> </v>
      </c>
      <c r="Q6" s="29" t="str">
        <f>IF(ISBLANK(Hoja2!R3)=TRUE," ",Hoja2!R3)</f>
        <v xml:space="preserve"> </v>
      </c>
      <c r="R6" s="29" t="str">
        <f>IF(ISBLANK(Hoja2!S3)=TRUE," ",Hoja2!S3)</f>
        <v xml:space="preserve"> </v>
      </c>
      <c r="S6" s="29" t="str">
        <f>IF(ISBLANK(Hoja2!T3)=TRUE," ",Hoja2!T3)</f>
        <v xml:space="preserve"> </v>
      </c>
      <c r="T6" s="29" t="str">
        <f>IF(ISBLANK(Hoja2!U3)=TRUE," ",Hoja2!U3)</f>
        <v xml:space="preserve"> </v>
      </c>
      <c r="U6" s="33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1:48" s="35" customFormat="1" ht="29.25" customHeight="1" x14ac:dyDescent="0.25">
      <c r="A7" s="29" t="str">
        <f>IF(ISBLANK(Hoja2!B4)=TRUE," ",Hoja2!B4)</f>
        <v xml:space="preserve"> </v>
      </c>
      <c r="B7" s="29" t="str">
        <f>IF(ISBLANK(Hoja2!C4)=TRUE," ",Hoja2!C4)</f>
        <v xml:space="preserve"> </v>
      </c>
      <c r="C7" s="29" t="str">
        <f>IF(ISBLANK(Hoja2!D4)=TRUE," ",Hoja2!D4)</f>
        <v xml:space="preserve"> </v>
      </c>
      <c r="D7" s="29" t="str">
        <f>IF(ISBLANK(Hoja2!E4)=TRUE," ",Hoja2!E4)</f>
        <v xml:space="preserve"> </v>
      </c>
      <c r="E7" s="29" t="str">
        <f>IF(ISBLANK(Hoja2!F4)=TRUE," ",Hoja2!F4)</f>
        <v xml:space="preserve"> </v>
      </c>
      <c r="F7" s="29" t="str">
        <f>IF(ISBLANK(Hoja2!G4)=TRUE," ",Hoja2!G4)</f>
        <v xml:space="preserve"> </v>
      </c>
      <c r="G7" s="29" t="str">
        <f>IF(ISBLANK(Hoja2!H4)=TRUE," ",Hoja2!H4)</f>
        <v xml:space="preserve"> </v>
      </c>
      <c r="H7" s="29" t="str">
        <f>IF(ISBLANK(Hoja2!I4)=TRUE," ",Hoja2!I4)</f>
        <v xml:space="preserve"> </v>
      </c>
      <c r="I7" s="29" t="str">
        <f>IF(ISBLANK(Hoja2!J4)=TRUE," ",Hoja2!J4)</f>
        <v xml:space="preserve"> </v>
      </c>
      <c r="J7" s="29" t="str">
        <f>IF(ISBLANK(Hoja2!K4)=TRUE," ",Hoja2!K4)</f>
        <v xml:space="preserve"> </v>
      </c>
      <c r="K7" s="29" t="str">
        <f>IF(ISBLANK(Hoja2!L4)=TRUE," ",Hoja2!L4)</f>
        <v xml:space="preserve"> </v>
      </c>
      <c r="L7" s="29" t="str">
        <f>IF(ISBLANK(Hoja2!M4)=TRUE," ",Hoja2!M4)</f>
        <v xml:space="preserve"> </v>
      </c>
      <c r="M7" s="29" t="str">
        <f>IF(ISBLANK(Hoja2!N4)=TRUE," ",Hoja2!N4)</f>
        <v xml:space="preserve"> </v>
      </c>
      <c r="N7" s="29" t="str">
        <f>IF(ISBLANK(Hoja2!O4)=TRUE," ",Hoja2!O4)</f>
        <v xml:space="preserve"> </v>
      </c>
      <c r="O7" s="29" t="str">
        <f>IF(ISBLANK(Hoja2!P4)=TRUE," ",Hoja2!P4)</f>
        <v xml:space="preserve"> </v>
      </c>
      <c r="P7" s="29" t="str">
        <f>IF(ISBLANK(Hoja2!Q4)=TRUE," ",Hoja2!Q4)</f>
        <v xml:space="preserve"> </v>
      </c>
      <c r="Q7" s="29" t="str">
        <f>IF(ISBLANK(Hoja2!R4)=TRUE," ",Hoja2!R4)</f>
        <v xml:space="preserve"> </v>
      </c>
      <c r="R7" s="29" t="str">
        <f>IF(ISBLANK(Hoja2!S4)=TRUE," ",Hoja2!S4)</f>
        <v xml:space="preserve"> </v>
      </c>
      <c r="S7" s="29" t="str">
        <f>IF(ISBLANK(Hoja2!T4)=TRUE," ",Hoja2!T4)</f>
        <v xml:space="preserve"> </v>
      </c>
      <c r="T7" s="29" t="str">
        <f>IF(ISBLANK(Hoja2!U4)=TRUE," ",Hoja2!U4)</f>
        <v xml:space="preserve"> </v>
      </c>
      <c r="U7" s="33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1:48" s="35" customFormat="1" ht="29.25" customHeight="1" x14ac:dyDescent="0.25">
      <c r="A8" s="29" t="str">
        <f>IF(ISBLANK(Hoja2!B5)=TRUE," ",Hoja2!B5)</f>
        <v xml:space="preserve"> </v>
      </c>
      <c r="B8" s="29" t="str">
        <f>IF(ISBLANK(Hoja2!C5)=TRUE," ",Hoja2!C5)</f>
        <v xml:space="preserve"> </v>
      </c>
      <c r="C8" s="29" t="str">
        <f>IF(ISBLANK(Hoja2!D5)=TRUE," ",Hoja2!D5)</f>
        <v xml:space="preserve"> </v>
      </c>
      <c r="D8" s="29" t="str">
        <f>IF(ISBLANK(Hoja2!E5)=TRUE," ",Hoja2!E5)</f>
        <v xml:space="preserve"> </v>
      </c>
      <c r="E8" s="29" t="str">
        <f>IF(ISBLANK(Hoja2!F5)=TRUE," ",Hoja2!F5)</f>
        <v xml:space="preserve"> </v>
      </c>
      <c r="F8" s="29" t="str">
        <f>IF(ISBLANK(Hoja2!G5)=TRUE," ",Hoja2!G5)</f>
        <v xml:space="preserve"> </v>
      </c>
      <c r="G8" s="29" t="str">
        <f>IF(ISBLANK(Hoja2!H5)=TRUE," ",Hoja2!H5)</f>
        <v xml:space="preserve"> </v>
      </c>
      <c r="H8" s="29" t="str">
        <f>IF(ISBLANK(Hoja2!I5)=TRUE," ",Hoja2!I5)</f>
        <v xml:space="preserve"> </v>
      </c>
      <c r="I8" s="29" t="str">
        <f>IF(ISBLANK(Hoja2!J5)=TRUE," ",Hoja2!J5)</f>
        <v xml:space="preserve"> </v>
      </c>
      <c r="J8" s="29" t="str">
        <f>IF(ISBLANK(Hoja2!K5)=TRUE," ",Hoja2!K5)</f>
        <v xml:space="preserve"> </v>
      </c>
      <c r="K8" s="29" t="str">
        <f>IF(ISBLANK(Hoja2!L5)=TRUE," ",Hoja2!L5)</f>
        <v xml:space="preserve"> </v>
      </c>
      <c r="L8" s="29" t="str">
        <f>IF(ISBLANK(Hoja2!M5)=TRUE," ",Hoja2!M5)</f>
        <v xml:space="preserve"> </v>
      </c>
      <c r="M8" s="29" t="str">
        <f>IF(ISBLANK(Hoja2!N5)=TRUE," ",Hoja2!N5)</f>
        <v xml:space="preserve"> </v>
      </c>
      <c r="N8" s="29" t="str">
        <f>IF(ISBLANK(Hoja2!O5)=TRUE," ",Hoja2!O5)</f>
        <v xml:space="preserve"> </v>
      </c>
      <c r="O8" s="29" t="str">
        <f>IF(ISBLANK(Hoja2!P5)=TRUE," ",Hoja2!P5)</f>
        <v xml:space="preserve"> </v>
      </c>
      <c r="P8" s="29" t="str">
        <f>IF(ISBLANK(Hoja2!Q5)=TRUE," ",Hoja2!Q5)</f>
        <v xml:space="preserve"> </v>
      </c>
      <c r="Q8" s="29" t="str">
        <f>IF(ISBLANK(Hoja2!R5)=TRUE," ",Hoja2!R5)</f>
        <v xml:space="preserve"> </v>
      </c>
      <c r="R8" s="29" t="str">
        <f>IF(ISBLANK(Hoja2!S5)=TRUE," ",Hoja2!S5)</f>
        <v xml:space="preserve"> </v>
      </c>
      <c r="S8" s="29" t="str">
        <f>IF(ISBLANK(Hoja2!T5)=TRUE," ",Hoja2!T5)</f>
        <v xml:space="preserve"> </v>
      </c>
      <c r="T8" s="29" t="str">
        <f>IF(ISBLANK(Hoja2!U5)=TRUE," ",Hoja2!U5)</f>
        <v xml:space="preserve"> </v>
      </c>
      <c r="U8" s="33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</row>
    <row r="9" spans="1:48" s="35" customFormat="1" ht="29.25" customHeight="1" x14ac:dyDescent="0.25">
      <c r="A9" s="29" t="str">
        <f>IF(ISBLANK(Hoja2!B6)=TRUE," ",Hoja2!B6)</f>
        <v xml:space="preserve"> </v>
      </c>
      <c r="B9" s="29" t="str">
        <f>IF(ISBLANK(Hoja2!C6)=TRUE," ",Hoja2!C6)</f>
        <v xml:space="preserve"> </v>
      </c>
      <c r="C9" s="29" t="str">
        <f>IF(ISBLANK(Hoja2!D6)=TRUE," ",Hoja2!D6)</f>
        <v xml:space="preserve"> </v>
      </c>
      <c r="D9" s="29" t="str">
        <f>IF(ISBLANK(Hoja2!E6)=TRUE," ",Hoja2!E6)</f>
        <v xml:space="preserve"> </v>
      </c>
      <c r="E9" s="29" t="str">
        <f>IF(ISBLANK(Hoja2!F6)=TRUE," ",Hoja2!F6)</f>
        <v xml:space="preserve"> </v>
      </c>
      <c r="F9" s="29" t="str">
        <f>IF(ISBLANK(Hoja2!G6)=TRUE," ",Hoja2!G6)</f>
        <v xml:space="preserve"> </v>
      </c>
      <c r="G9" s="29" t="str">
        <f>IF(ISBLANK(Hoja2!H6)=TRUE," ",Hoja2!H6)</f>
        <v xml:space="preserve"> </v>
      </c>
      <c r="H9" s="29" t="str">
        <f>IF(ISBLANK(Hoja2!I6)=TRUE," ",Hoja2!I6)</f>
        <v xml:space="preserve"> </v>
      </c>
      <c r="I9" s="29" t="str">
        <f>IF(ISBLANK(Hoja2!J6)=TRUE," ",Hoja2!J6)</f>
        <v xml:space="preserve"> </v>
      </c>
      <c r="J9" s="29" t="str">
        <f>IF(ISBLANK(Hoja2!K6)=TRUE," ",Hoja2!K6)</f>
        <v xml:space="preserve"> </v>
      </c>
      <c r="K9" s="29" t="str">
        <f>IF(ISBLANK(Hoja2!L6)=TRUE," ",Hoja2!L6)</f>
        <v xml:space="preserve"> </v>
      </c>
      <c r="L9" s="29" t="str">
        <f>IF(ISBLANK(Hoja2!M6)=TRUE," ",Hoja2!M6)</f>
        <v xml:space="preserve"> </v>
      </c>
      <c r="M9" s="29" t="str">
        <f>IF(ISBLANK(Hoja2!N6)=TRUE," ",Hoja2!N6)</f>
        <v xml:space="preserve"> </v>
      </c>
      <c r="N9" s="29" t="str">
        <f>IF(ISBLANK(Hoja2!O6)=TRUE," ",Hoja2!O6)</f>
        <v xml:space="preserve"> </v>
      </c>
      <c r="O9" s="29" t="str">
        <f>IF(ISBLANK(Hoja2!P6)=TRUE," ",Hoja2!P6)</f>
        <v xml:space="preserve"> </v>
      </c>
      <c r="P9" s="29" t="str">
        <f>IF(ISBLANK(Hoja2!Q6)=TRUE," ",Hoja2!Q6)</f>
        <v xml:space="preserve"> </v>
      </c>
      <c r="Q9" s="29" t="str">
        <f>IF(ISBLANK(Hoja2!R6)=TRUE," ",Hoja2!R6)</f>
        <v xml:space="preserve"> </v>
      </c>
      <c r="R9" s="29" t="str">
        <f>IF(ISBLANK(Hoja2!S6)=TRUE," ",Hoja2!S6)</f>
        <v xml:space="preserve"> </v>
      </c>
      <c r="S9" s="29" t="str">
        <f>IF(ISBLANK(Hoja2!T6)=TRUE," ",Hoja2!T6)</f>
        <v xml:space="preserve"> </v>
      </c>
      <c r="T9" s="29" t="str">
        <f>IF(ISBLANK(Hoja2!U6)=TRUE," ",Hoja2!U6)</f>
        <v xml:space="preserve"> </v>
      </c>
      <c r="U9" s="33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</row>
    <row r="10" spans="1:48" s="35" customFormat="1" ht="29.25" customHeight="1" x14ac:dyDescent="0.25">
      <c r="A10" s="29" t="str">
        <f>IF(ISBLANK(Hoja2!B7)=TRUE," ",Hoja2!B7)</f>
        <v xml:space="preserve"> </v>
      </c>
      <c r="B10" s="29" t="str">
        <f>IF(ISBLANK(Hoja2!C7)=TRUE," ",Hoja2!C7)</f>
        <v xml:space="preserve"> </v>
      </c>
      <c r="C10" s="29" t="str">
        <f>IF(ISBLANK(Hoja2!D7)=TRUE," ",Hoja2!D7)</f>
        <v xml:space="preserve"> </v>
      </c>
      <c r="D10" s="29" t="str">
        <f>IF(ISBLANK(Hoja2!E7)=TRUE," ",Hoja2!E7)</f>
        <v xml:space="preserve"> </v>
      </c>
      <c r="E10" s="29" t="str">
        <f>IF(ISBLANK(Hoja2!F7)=TRUE," ",Hoja2!F7)</f>
        <v xml:space="preserve"> </v>
      </c>
      <c r="F10" s="29" t="str">
        <f>IF(ISBLANK(Hoja2!G7)=TRUE," ",Hoja2!G7)</f>
        <v xml:space="preserve"> </v>
      </c>
      <c r="G10" s="29" t="str">
        <f>IF(ISBLANK(Hoja2!H7)=TRUE," ",Hoja2!H7)</f>
        <v xml:space="preserve"> </v>
      </c>
      <c r="H10" s="29" t="str">
        <f>IF(ISBLANK(Hoja2!I7)=TRUE," ",Hoja2!I7)</f>
        <v xml:space="preserve"> </v>
      </c>
      <c r="I10" s="29" t="str">
        <f>IF(ISBLANK(Hoja2!J7)=TRUE," ",Hoja2!J7)</f>
        <v xml:space="preserve"> </v>
      </c>
      <c r="J10" s="29" t="str">
        <f>IF(ISBLANK(Hoja2!K7)=TRUE," ",Hoja2!K7)</f>
        <v xml:space="preserve"> </v>
      </c>
      <c r="K10" s="29" t="str">
        <f>IF(ISBLANK(Hoja2!L7)=TRUE," ",Hoja2!L7)</f>
        <v xml:space="preserve"> </v>
      </c>
      <c r="L10" s="29" t="str">
        <f>IF(ISBLANK(Hoja2!M7)=TRUE," ",Hoja2!M7)</f>
        <v xml:space="preserve"> </v>
      </c>
      <c r="M10" s="29" t="str">
        <f>IF(ISBLANK(Hoja2!N7)=TRUE," ",Hoja2!N7)</f>
        <v xml:space="preserve"> </v>
      </c>
      <c r="N10" s="29" t="str">
        <f>IF(ISBLANK(Hoja2!O7)=TRUE," ",Hoja2!O7)</f>
        <v xml:space="preserve"> </v>
      </c>
      <c r="O10" s="29" t="str">
        <f>IF(ISBLANK(Hoja2!P7)=TRUE," ",Hoja2!P7)</f>
        <v xml:space="preserve"> </v>
      </c>
      <c r="P10" s="29" t="str">
        <f>IF(ISBLANK(Hoja2!Q7)=TRUE," ",Hoja2!Q7)</f>
        <v xml:space="preserve"> </v>
      </c>
      <c r="Q10" s="29" t="str">
        <f>IF(ISBLANK(Hoja2!R7)=TRUE," ",Hoja2!R7)</f>
        <v xml:space="preserve"> </v>
      </c>
      <c r="R10" s="29" t="str">
        <f>IF(ISBLANK(Hoja2!S7)=TRUE," ",Hoja2!S7)</f>
        <v xml:space="preserve"> </v>
      </c>
      <c r="S10" s="29" t="str">
        <f>IF(ISBLANK(Hoja2!T7)=TRUE," ",Hoja2!T7)</f>
        <v xml:space="preserve"> </v>
      </c>
      <c r="T10" s="29" t="str">
        <f>IF(ISBLANK(Hoja2!U7)=TRUE," ",Hoja2!U7)</f>
        <v xml:space="preserve"> </v>
      </c>
      <c r="U10" s="33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</row>
    <row r="11" spans="1:48" s="35" customFormat="1" ht="29.25" customHeight="1" x14ac:dyDescent="0.25">
      <c r="A11" s="29" t="str">
        <f>IF(ISBLANK(Hoja2!B8)=TRUE," ",Hoja2!B8)</f>
        <v xml:space="preserve"> </v>
      </c>
      <c r="B11" s="29" t="str">
        <f>IF(ISBLANK(Hoja2!C8)=TRUE," ",Hoja2!C8)</f>
        <v xml:space="preserve"> </v>
      </c>
      <c r="C11" s="29" t="str">
        <f>IF(ISBLANK(Hoja2!D8)=TRUE," ",Hoja2!D8)</f>
        <v xml:space="preserve"> </v>
      </c>
      <c r="D11" s="29" t="str">
        <f>IF(ISBLANK(Hoja2!E8)=TRUE," ",Hoja2!E8)</f>
        <v xml:space="preserve"> </v>
      </c>
      <c r="E11" s="29" t="str">
        <f>IF(ISBLANK(Hoja2!F8)=TRUE," ",Hoja2!F8)</f>
        <v xml:space="preserve"> </v>
      </c>
      <c r="F11" s="29" t="str">
        <f>IF(ISBLANK(Hoja2!G8)=TRUE," ",Hoja2!G8)</f>
        <v xml:space="preserve"> </v>
      </c>
      <c r="G11" s="29" t="str">
        <f>IF(ISBLANK(Hoja2!H8)=TRUE," ",Hoja2!H8)</f>
        <v xml:space="preserve"> </v>
      </c>
      <c r="H11" s="29" t="str">
        <f>IF(ISBLANK(Hoja2!I8)=TRUE," ",Hoja2!I8)</f>
        <v xml:space="preserve"> </v>
      </c>
      <c r="I11" s="29" t="str">
        <f>IF(ISBLANK(Hoja2!J8)=TRUE," ",Hoja2!J8)</f>
        <v xml:space="preserve"> </v>
      </c>
      <c r="J11" s="29" t="str">
        <f>IF(ISBLANK(Hoja2!K8)=TRUE," ",Hoja2!K8)</f>
        <v xml:space="preserve"> </v>
      </c>
      <c r="K11" s="29" t="str">
        <f>IF(ISBLANK(Hoja2!L8)=TRUE," ",Hoja2!L8)</f>
        <v xml:space="preserve"> </v>
      </c>
      <c r="L11" s="29" t="str">
        <f>IF(ISBLANK(Hoja2!M8)=TRUE," ",Hoja2!M8)</f>
        <v xml:space="preserve"> </v>
      </c>
      <c r="M11" s="29" t="str">
        <f>IF(ISBLANK(Hoja2!N8)=TRUE," ",Hoja2!N8)</f>
        <v xml:space="preserve"> </v>
      </c>
      <c r="N11" s="29" t="str">
        <f>IF(ISBLANK(Hoja2!O8)=TRUE," ",Hoja2!O8)</f>
        <v xml:space="preserve"> </v>
      </c>
      <c r="O11" s="29" t="str">
        <f>IF(ISBLANK(Hoja2!P8)=TRUE," ",Hoja2!P8)</f>
        <v xml:space="preserve"> </v>
      </c>
      <c r="P11" s="29" t="str">
        <f>IF(ISBLANK(Hoja2!Q8)=TRUE," ",Hoja2!Q8)</f>
        <v xml:space="preserve"> </v>
      </c>
      <c r="Q11" s="29" t="str">
        <f>IF(ISBLANK(Hoja2!R8)=TRUE," ",Hoja2!R8)</f>
        <v xml:space="preserve"> </v>
      </c>
      <c r="R11" s="29" t="str">
        <f>IF(ISBLANK(Hoja2!S8)=TRUE," ",Hoja2!S8)</f>
        <v xml:space="preserve"> </v>
      </c>
      <c r="S11" s="29" t="str">
        <f>IF(ISBLANK(Hoja2!T8)=TRUE," ",Hoja2!T8)</f>
        <v xml:space="preserve"> </v>
      </c>
      <c r="T11" s="29" t="str">
        <f>IF(ISBLANK(Hoja2!U8)=TRUE," ",Hoja2!U8)</f>
        <v xml:space="preserve"> </v>
      </c>
      <c r="U11" s="33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</row>
    <row r="12" spans="1:48" s="35" customFormat="1" ht="29.25" customHeight="1" x14ac:dyDescent="0.25">
      <c r="A12" s="29" t="str">
        <f>IF(ISBLANK(Hoja2!B9)=TRUE," ",Hoja2!B9)</f>
        <v xml:space="preserve"> </v>
      </c>
      <c r="B12" s="29" t="str">
        <f>IF(ISBLANK(Hoja2!C9)=TRUE," ",Hoja2!C9)</f>
        <v xml:space="preserve"> </v>
      </c>
      <c r="C12" s="29" t="str">
        <f>IF(ISBLANK(Hoja2!D9)=TRUE," ",Hoja2!D9)</f>
        <v xml:space="preserve"> </v>
      </c>
      <c r="D12" s="29" t="str">
        <f>IF(ISBLANK(Hoja2!E9)=TRUE," ",Hoja2!E9)</f>
        <v xml:space="preserve"> </v>
      </c>
      <c r="E12" s="29" t="str">
        <f>IF(ISBLANK(Hoja2!F9)=TRUE," ",Hoja2!F9)</f>
        <v xml:space="preserve"> </v>
      </c>
      <c r="F12" s="29" t="str">
        <f>IF(ISBLANK(Hoja2!G9)=TRUE," ",Hoja2!G9)</f>
        <v xml:space="preserve"> </v>
      </c>
      <c r="G12" s="29" t="str">
        <f>IF(ISBLANK(Hoja2!H9)=TRUE," ",Hoja2!H9)</f>
        <v xml:space="preserve"> </v>
      </c>
      <c r="H12" s="29" t="str">
        <f>IF(ISBLANK(Hoja2!I9)=TRUE," ",Hoja2!I9)</f>
        <v xml:space="preserve"> </v>
      </c>
      <c r="I12" s="29" t="str">
        <f>IF(ISBLANK(Hoja2!J9)=TRUE," ",Hoja2!J9)</f>
        <v xml:space="preserve"> </v>
      </c>
      <c r="J12" s="29" t="str">
        <f>IF(ISBLANK(Hoja2!K9)=TRUE," ",Hoja2!K9)</f>
        <v xml:space="preserve"> </v>
      </c>
      <c r="K12" s="29" t="str">
        <f>IF(ISBLANK(Hoja2!L9)=TRUE," ",Hoja2!L9)</f>
        <v xml:space="preserve"> </v>
      </c>
      <c r="L12" s="29" t="str">
        <f>IF(ISBLANK(Hoja2!M9)=TRUE," ",Hoja2!M9)</f>
        <v xml:space="preserve"> </v>
      </c>
      <c r="M12" s="29" t="str">
        <f>IF(ISBLANK(Hoja2!N9)=TRUE," ",Hoja2!N9)</f>
        <v xml:space="preserve"> </v>
      </c>
      <c r="N12" s="29" t="str">
        <f>IF(ISBLANK(Hoja2!O9)=TRUE," ",Hoja2!O9)</f>
        <v xml:space="preserve"> </v>
      </c>
      <c r="O12" s="29" t="str">
        <f>IF(ISBLANK(Hoja2!P9)=TRUE," ",Hoja2!P9)</f>
        <v xml:space="preserve"> </v>
      </c>
      <c r="P12" s="29" t="str">
        <f>IF(ISBLANK(Hoja2!Q9)=TRUE," ",Hoja2!Q9)</f>
        <v xml:space="preserve"> </v>
      </c>
      <c r="Q12" s="29" t="str">
        <f>IF(ISBLANK(Hoja2!R9)=TRUE," ",Hoja2!R9)</f>
        <v xml:space="preserve"> </v>
      </c>
      <c r="R12" s="29" t="str">
        <f>IF(ISBLANK(Hoja2!S9)=TRUE," ",Hoja2!S9)</f>
        <v xml:space="preserve"> </v>
      </c>
      <c r="S12" s="29" t="str">
        <f>IF(ISBLANK(Hoja2!T9)=TRUE," ",Hoja2!T9)</f>
        <v xml:space="preserve"> </v>
      </c>
      <c r="T12" s="29" t="str">
        <f>IF(ISBLANK(Hoja2!U9)=TRUE," ",Hoja2!U9)</f>
        <v xml:space="preserve"> </v>
      </c>
      <c r="U12" s="33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</row>
    <row r="13" spans="1:48" s="35" customFormat="1" ht="29.25" customHeight="1" x14ac:dyDescent="0.25">
      <c r="A13" s="29" t="str">
        <f>IF(ISBLANK(Hoja2!B10)=TRUE," ",Hoja2!B10)</f>
        <v xml:space="preserve"> </v>
      </c>
      <c r="B13" s="29" t="str">
        <f>IF(ISBLANK(Hoja2!C10)=TRUE," ",Hoja2!C10)</f>
        <v xml:space="preserve"> </v>
      </c>
      <c r="C13" s="29" t="str">
        <f>IF(ISBLANK(Hoja2!D10)=TRUE," ",Hoja2!D10)</f>
        <v xml:space="preserve"> </v>
      </c>
      <c r="D13" s="29" t="str">
        <f>IF(ISBLANK(Hoja2!E10)=TRUE," ",Hoja2!E10)</f>
        <v xml:space="preserve"> </v>
      </c>
      <c r="E13" s="29" t="str">
        <f>IF(ISBLANK(Hoja2!F10)=TRUE," ",Hoja2!F10)</f>
        <v xml:space="preserve"> </v>
      </c>
      <c r="F13" s="29" t="str">
        <f>IF(ISBLANK(Hoja2!G10)=TRUE," ",Hoja2!G10)</f>
        <v xml:space="preserve"> </v>
      </c>
      <c r="G13" s="29" t="str">
        <f>IF(ISBLANK(Hoja2!H10)=TRUE," ",Hoja2!H10)</f>
        <v xml:space="preserve"> </v>
      </c>
      <c r="H13" s="29" t="str">
        <f>IF(ISBLANK(Hoja2!I10)=TRUE," ",Hoja2!I10)</f>
        <v xml:space="preserve"> </v>
      </c>
      <c r="I13" s="29" t="str">
        <f>IF(ISBLANK(Hoja2!J10)=TRUE," ",Hoja2!J10)</f>
        <v xml:space="preserve"> </v>
      </c>
      <c r="J13" s="29" t="str">
        <f>IF(ISBLANK(Hoja2!K10)=TRUE," ",Hoja2!K10)</f>
        <v xml:space="preserve"> </v>
      </c>
      <c r="K13" s="29" t="str">
        <f>IF(ISBLANK(Hoja2!L10)=TRUE," ",Hoja2!L10)</f>
        <v xml:space="preserve"> </v>
      </c>
      <c r="L13" s="29" t="str">
        <f>IF(ISBLANK(Hoja2!M10)=TRUE," ",Hoja2!M10)</f>
        <v xml:space="preserve"> </v>
      </c>
      <c r="M13" s="29" t="str">
        <f>IF(ISBLANK(Hoja2!N10)=TRUE," ",Hoja2!N10)</f>
        <v xml:space="preserve"> </v>
      </c>
      <c r="N13" s="29" t="str">
        <f>IF(ISBLANK(Hoja2!O10)=TRUE," ",Hoja2!O10)</f>
        <v xml:space="preserve"> </v>
      </c>
      <c r="O13" s="29" t="str">
        <f>IF(ISBLANK(Hoja2!P10)=TRUE," ",Hoja2!P10)</f>
        <v xml:space="preserve"> </v>
      </c>
      <c r="P13" s="29" t="str">
        <f>IF(ISBLANK(Hoja2!Q10)=TRUE," ",Hoja2!Q10)</f>
        <v xml:space="preserve"> </v>
      </c>
      <c r="Q13" s="29" t="str">
        <f>IF(ISBLANK(Hoja2!R10)=TRUE," ",Hoja2!R10)</f>
        <v xml:space="preserve"> </v>
      </c>
      <c r="R13" s="29" t="str">
        <f>IF(ISBLANK(Hoja2!S10)=TRUE," ",Hoja2!S10)</f>
        <v xml:space="preserve"> </v>
      </c>
      <c r="S13" s="29" t="str">
        <f>IF(ISBLANK(Hoja2!T10)=TRUE," ",Hoja2!T10)</f>
        <v xml:space="preserve"> </v>
      </c>
      <c r="T13" s="29" t="str">
        <f>IF(ISBLANK(Hoja2!U10)=TRUE," ",Hoja2!U10)</f>
        <v xml:space="preserve"> </v>
      </c>
      <c r="U13" s="33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</row>
    <row r="14" spans="1:48" s="35" customFormat="1" ht="29.25" customHeight="1" x14ac:dyDescent="0.25">
      <c r="A14" s="29" t="str">
        <f>IF(ISBLANK(Hoja2!B11)=TRUE," ",Hoja2!B11)</f>
        <v xml:space="preserve"> </v>
      </c>
      <c r="B14" s="29" t="str">
        <f>IF(ISBLANK(Hoja2!C11)=TRUE," ",Hoja2!C11)</f>
        <v xml:space="preserve"> </v>
      </c>
      <c r="C14" s="29" t="str">
        <f>IF(ISBLANK(Hoja2!D11)=TRUE," ",Hoja2!D11)</f>
        <v xml:space="preserve"> </v>
      </c>
      <c r="D14" s="29" t="str">
        <f>IF(ISBLANK(Hoja2!E11)=TRUE," ",Hoja2!E11)</f>
        <v xml:space="preserve"> </v>
      </c>
      <c r="E14" s="29" t="str">
        <f>IF(ISBLANK(Hoja2!F11)=TRUE," ",Hoja2!F11)</f>
        <v xml:space="preserve"> </v>
      </c>
      <c r="F14" s="29" t="str">
        <f>IF(ISBLANK(Hoja2!G11)=TRUE," ",Hoja2!G11)</f>
        <v xml:space="preserve"> </v>
      </c>
      <c r="G14" s="29" t="str">
        <f>IF(ISBLANK(Hoja2!H11)=TRUE," ",Hoja2!H11)</f>
        <v xml:space="preserve"> </v>
      </c>
      <c r="H14" s="29" t="str">
        <f>IF(ISBLANK(Hoja2!I11)=TRUE," ",Hoja2!I11)</f>
        <v xml:space="preserve"> </v>
      </c>
      <c r="I14" s="29" t="str">
        <f>IF(ISBLANK(Hoja2!J11)=TRUE," ",Hoja2!J11)</f>
        <v xml:space="preserve"> </v>
      </c>
      <c r="J14" s="29" t="str">
        <f>IF(ISBLANK(Hoja2!K11)=TRUE," ",Hoja2!K11)</f>
        <v xml:space="preserve"> </v>
      </c>
      <c r="K14" s="29" t="str">
        <f>IF(ISBLANK(Hoja2!L11)=TRUE," ",Hoja2!L11)</f>
        <v xml:space="preserve"> </v>
      </c>
      <c r="L14" s="29" t="str">
        <f>IF(ISBLANK(Hoja2!M11)=TRUE," ",Hoja2!M11)</f>
        <v xml:space="preserve"> </v>
      </c>
      <c r="M14" s="29" t="str">
        <f>IF(ISBLANK(Hoja2!N11)=TRUE," ",Hoja2!N11)</f>
        <v xml:space="preserve"> </v>
      </c>
      <c r="N14" s="29" t="str">
        <f>IF(ISBLANK(Hoja2!O11)=TRUE," ",Hoja2!O11)</f>
        <v xml:space="preserve"> </v>
      </c>
      <c r="O14" s="29" t="str">
        <f>IF(ISBLANK(Hoja2!P11)=TRUE," ",Hoja2!P11)</f>
        <v xml:space="preserve"> </v>
      </c>
      <c r="P14" s="29" t="str">
        <f>IF(ISBLANK(Hoja2!Q11)=TRUE," ",Hoja2!Q11)</f>
        <v xml:space="preserve"> </v>
      </c>
      <c r="Q14" s="29" t="str">
        <f>IF(ISBLANK(Hoja2!R11)=TRUE," ",Hoja2!R11)</f>
        <v xml:space="preserve"> </v>
      </c>
      <c r="R14" s="29" t="str">
        <f>IF(ISBLANK(Hoja2!S11)=TRUE," ",Hoja2!S11)</f>
        <v xml:space="preserve"> </v>
      </c>
      <c r="S14" s="29" t="str">
        <f>IF(ISBLANK(Hoja2!T11)=TRUE," ",Hoja2!T11)</f>
        <v xml:space="preserve"> </v>
      </c>
      <c r="T14" s="29" t="str">
        <f>IF(ISBLANK(Hoja2!U11)=TRUE," ",Hoja2!U11)</f>
        <v xml:space="preserve"> </v>
      </c>
      <c r="U14" s="33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</row>
    <row r="15" spans="1:48" s="35" customFormat="1" ht="29.25" customHeight="1" x14ac:dyDescent="0.25">
      <c r="A15" s="29" t="str">
        <f>IF(ISBLANK(Hoja2!B12)=TRUE," ",Hoja2!B12)</f>
        <v xml:space="preserve"> </v>
      </c>
      <c r="B15" s="29" t="str">
        <f>IF(ISBLANK(Hoja2!C12)=TRUE," ",Hoja2!C12)</f>
        <v xml:space="preserve"> </v>
      </c>
      <c r="C15" s="29" t="str">
        <f>IF(ISBLANK(Hoja2!D12)=TRUE," ",Hoja2!D12)</f>
        <v xml:space="preserve"> </v>
      </c>
      <c r="D15" s="29" t="str">
        <f>IF(ISBLANK(Hoja2!E12)=TRUE," ",Hoja2!E12)</f>
        <v xml:space="preserve"> </v>
      </c>
      <c r="E15" s="29" t="str">
        <f>IF(ISBLANK(Hoja2!F12)=TRUE," ",Hoja2!F12)</f>
        <v xml:space="preserve"> </v>
      </c>
      <c r="F15" s="29" t="str">
        <f>IF(ISBLANK(Hoja2!G12)=TRUE," ",Hoja2!G12)</f>
        <v xml:space="preserve"> </v>
      </c>
      <c r="G15" s="29" t="str">
        <f>IF(ISBLANK(Hoja2!H12)=TRUE," ",Hoja2!H12)</f>
        <v xml:space="preserve"> </v>
      </c>
      <c r="H15" s="29" t="str">
        <f>IF(ISBLANK(Hoja2!I12)=TRUE," ",Hoja2!I12)</f>
        <v xml:space="preserve"> </v>
      </c>
      <c r="I15" s="29" t="str">
        <f>IF(ISBLANK(Hoja2!J12)=TRUE," ",Hoja2!J12)</f>
        <v xml:space="preserve"> </v>
      </c>
      <c r="J15" s="29" t="str">
        <f>IF(ISBLANK(Hoja2!K12)=TRUE," ",Hoja2!K12)</f>
        <v xml:space="preserve"> </v>
      </c>
      <c r="K15" s="29" t="str">
        <f>IF(ISBLANK(Hoja2!L12)=TRUE," ",Hoja2!L12)</f>
        <v xml:space="preserve"> </v>
      </c>
      <c r="L15" s="29" t="str">
        <f>IF(ISBLANK(Hoja2!M12)=TRUE," ",Hoja2!M12)</f>
        <v xml:space="preserve"> </v>
      </c>
      <c r="M15" s="29" t="str">
        <f>IF(ISBLANK(Hoja2!N12)=TRUE," ",Hoja2!N12)</f>
        <v xml:space="preserve"> </v>
      </c>
      <c r="N15" s="29" t="str">
        <f>IF(ISBLANK(Hoja2!O12)=TRUE," ",Hoja2!O12)</f>
        <v xml:space="preserve"> </v>
      </c>
      <c r="O15" s="29" t="str">
        <f>IF(ISBLANK(Hoja2!P12)=TRUE," ",Hoja2!P12)</f>
        <v xml:space="preserve"> </v>
      </c>
      <c r="P15" s="29" t="str">
        <f>IF(ISBLANK(Hoja2!Q12)=TRUE," ",Hoja2!Q12)</f>
        <v xml:space="preserve"> </v>
      </c>
      <c r="Q15" s="29" t="str">
        <f>IF(ISBLANK(Hoja2!R12)=TRUE," ",Hoja2!R12)</f>
        <v xml:space="preserve"> </v>
      </c>
      <c r="R15" s="29" t="str">
        <f>IF(ISBLANK(Hoja2!S12)=TRUE," ",Hoja2!S12)</f>
        <v xml:space="preserve"> </v>
      </c>
      <c r="S15" s="29" t="str">
        <f>IF(ISBLANK(Hoja2!T12)=TRUE," ",Hoja2!T12)</f>
        <v xml:space="preserve"> </v>
      </c>
      <c r="T15" s="29" t="str">
        <f>IF(ISBLANK(Hoja2!U12)=TRUE," ",Hoja2!U12)</f>
        <v xml:space="preserve"> </v>
      </c>
      <c r="U15" s="33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</row>
    <row r="16" spans="1:48" s="35" customFormat="1" ht="29.25" customHeight="1" x14ac:dyDescent="0.25">
      <c r="A16" s="29" t="str">
        <f>IF(ISBLANK(Hoja2!B13)=TRUE," ",Hoja2!B13)</f>
        <v xml:space="preserve"> </v>
      </c>
      <c r="B16" s="29" t="str">
        <f>IF(ISBLANK(Hoja2!C13)=TRUE," ",Hoja2!C13)</f>
        <v xml:space="preserve"> </v>
      </c>
      <c r="C16" s="29" t="str">
        <f>IF(ISBLANK(Hoja2!D13)=TRUE," ",Hoja2!D13)</f>
        <v xml:space="preserve"> </v>
      </c>
      <c r="D16" s="29" t="str">
        <f>IF(ISBLANK(Hoja2!E13)=TRUE," ",Hoja2!E13)</f>
        <v xml:space="preserve"> </v>
      </c>
      <c r="E16" s="29" t="str">
        <f>IF(ISBLANK(Hoja2!F13)=TRUE," ",Hoja2!F13)</f>
        <v xml:space="preserve"> </v>
      </c>
      <c r="F16" s="29" t="str">
        <f>IF(ISBLANK(Hoja2!G13)=TRUE," ",Hoja2!G13)</f>
        <v xml:space="preserve"> </v>
      </c>
      <c r="G16" s="29" t="str">
        <f>IF(ISBLANK(Hoja2!H13)=TRUE," ",Hoja2!H13)</f>
        <v xml:space="preserve"> </v>
      </c>
      <c r="H16" s="29" t="str">
        <f>IF(ISBLANK(Hoja2!I13)=TRUE," ",Hoja2!I13)</f>
        <v xml:space="preserve"> </v>
      </c>
      <c r="I16" s="29" t="str">
        <f>IF(ISBLANK(Hoja2!J13)=TRUE," ",Hoja2!J13)</f>
        <v xml:space="preserve"> </v>
      </c>
      <c r="J16" s="29" t="str">
        <f>IF(ISBLANK(Hoja2!K13)=TRUE," ",Hoja2!K13)</f>
        <v xml:space="preserve"> </v>
      </c>
      <c r="K16" s="29" t="str">
        <f>IF(ISBLANK(Hoja2!L13)=TRUE," ",Hoja2!L13)</f>
        <v xml:space="preserve"> </v>
      </c>
      <c r="L16" s="29" t="str">
        <f>IF(ISBLANK(Hoja2!M13)=TRUE," ",Hoja2!M13)</f>
        <v xml:space="preserve"> </v>
      </c>
      <c r="M16" s="29" t="str">
        <f>IF(ISBLANK(Hoja2!N13)=TRUE," ",Hoja2!N13)</f>
        <v xml:space="preserve"> </v>
      </c>
      <c r="N16" s="29" t="str">
        <f>IF(ISBLANK(Hoja2!O13)=TRUE," ",Hoja2!O13)</f>
        <v xml:space="preserve"> </v>
      </c>
      <c r="O16" s="29" t="str">
        <f>IF(ISBLANK(Hoja2!P13)=TRUE," ",Hoja2!P13)</f>
        <v xml:space="preserve"> </v>
      </c>
      <c r="P16" s="29" t="str">
        <f>IF(ISBLANK(Hoja2!Q13)=TRUE," ",Hoja2!Q13)</f>
        <v xml:space="preserve"> </v>
      </c>
      <c r="Q16" s="29" t="str">
        <f>IF(ISBLANK(Hoja2!R13)=TRUE," ",Hoja2!R13)</f>
        <v xml:space="preserve"> </v>
      </c>
      <c r="R16" s="29" t="str">
        <f>IF(ISBLANK(Hoja2!S13)=TRUE," ",Hoja2!S13)</f>
        <v xml:space="preserve"> </v>
      </c>
      <c r="S16" s="29" t="str">
        <f>IF(ISBLANK(Hoja2!T13)=TRUE," ",Hoja2!T13)</f>
        <v xml:space="preserve"> </v>
      </c>
      <c r="T16" s="29" t="str">
        <f>IF(ISBLANK(Hoja2!U13)=TRUE," ",Hoja2!U13)</f>
        <v xml:space="preserve"> </v>
      </c>
      <c r="U16" s="33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</row>
    <row r="17" spans="1:53" s="35" customFormat="1" ht="29.25" customHeight="1" x14ac:dyDescent="0.25">
      <c r="A17" s="29" t="str">
        <f>IF(ISBLANK(Hoja2!B14)=TRUE," ",Hoja2!B14)</f>
        <v xml:space="preserve"> </v>
      </c>
      <c r="B17" s="29" t="str">
        <f>IF(ISBLANK(Hoja2!C14)=TRUE," ",Hoja2!C14)</f>
        <v xml:space="preserve"> </v>
      </c>
      <c r="C17" s="29" t="str">
        <f>IF(ISBLANK(Hoja2!D14)=TRUE," ",Hoja2!D14)</f>
        <v xml:space="preserve"> </v>
      </c>
      <c r="D17" s="29" t="str">
        <f>IF(ISBLANK(Hoja2!E14)=TRUE," ",Hoja2!E14)</f>
        <v xml:space="preserve"> </v>
      </c>
      <c r="E17" s="29" t="str">
        <f>IF(ISBLANK(Hoja2!F14)=TRUE," ",Hoja2!F14)</f>
        <v xml:space="preserve"> </v>
      </c>
      <c r="F17" s="29" t="str">
        <f>IF(ISBLANK(Hoja2!G14)=TRUE," ",Hoja2!G14)</f>
        <v xml:space="preserve"> </v>
      </c>
      <c r="G17" s="29" t="str">
        <f>IF(ISBLANK(Hoja2!H14)=TRUE," ",Hoja2!H14)</f>
        <v xml:space="preserve"> </v>
      </c>
      <c r="H17" s="29" t="str">
        <f>IF(ISBLANK(Hoja2!I14)=TRUE," ",Hoja2!I14)</f>
        <v xml:space="preserve"> </v>
      </c>
      <c r="I17" s="29" t="str">
        <f>IF(ISBLANK(Hoja2!J14)=TRUE," ",Hoja2!J14)</f>
        <v xml:space="preserve"> </v>
      </c>
      <c r="J17" s="29" t="str">
        <f>IF(ISBLANK(Hoja2!K14)=TRUE," ",Hoja2!K14)</f>
        <v xml:space="preserve"> </v>
      </c>
      <c r="K17" s="29" t="str">
        <f>IF(ISBLANK(Hoja2!L14)=TRUE," ",Hoja2!L14)</f>
        <v xml:space="preserve"> </v>
      </c>
      <c r="L17" s="29" t="str">
        <f>IF(ISBLANK(Hoja2!M14)=TRUE," ",Hoja2!M14)</f>
        <v xml:space="preserve"> </v>
      </c>
      <c r="M17" s="29" t="str">
        <f>IF(ISBLANK(Hoja2!N14)=TRUE," ",Hoja2!N14)</f>
        <v xml:space="preserve"> </v>
      </c>
      <c r="N17" s="29" t="str">
        <f>IF(ISBLANK(Hoja2!O14)=TRUE," ",Hoja2!O14)</f>
        <v xml:space="preserve"> </v>
      </c>
      <c r="O17" s="29" t="str">
        <f>IF(ISBLANK(Hoja2!P14)=TRUE," ",Hoja2!P14)</f>
        <v xml:space="preserve"> </v>
      </c>
      <c r="P17" s="29" t="str">
        <f>IF(ISBLANK(Hoja2!Q14)=TRUE," ",Hoja2!Q14)</f>
        <v xml:space="preserve"> </v>
      </c>
      <c r="Q17" s="29" t="str">
        <f>IF(ISBLANK(Hoja2!R14)=TRUE," ",Hoja2!R14)</f>
        <v xml:space="preserve"> </v>
      </c>
      <c r="R17" s="29" t="str">
        <f>IF(ISBLANK(Hoja2!S14)=TRUE," ",Hoja2!S14)</f>
        <v xml:space="preserve"> </v>
      </c>
      <c r="S17" s="29" t="str">
        <f>IF(ISBLANK(Hoja2!T14)=TRUE," ",Hoja2!T14)</f>
        <v xml:space="preserve"> </v>
      </c>
      <c r="T17" s="29" t="str">
        <f>IF(ISBLANK(Hoja2!U14)=TRUE," ",Hoja2!U14)</f>
        <v xml:space="preserve"> </v>
      </c>
      <c r="U17" s="33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</row>
    <row r="18" spans="1:53" s="35" customFormat="1" ht="29.25" customHeight="1" x14ac:dyDescent="0.25">
      <c r="A18" s="29" t="str">
        <f>IF(ISBLANK(Hoja2!B15)=TRUE," ",Hoja2!B15)</f>
        <v xml:space="preserve"> </v>
      </c>
      <c r="B18" s="29" t="str">
        <f>IF(ISBLANK(Hoja2!C15)=TRUE," ",Hoja2!C15)</f>
        <v xml:space="preserve"> </v>
      </c>
      <c r="C18" s="29" t="str">
        <f>IF(ISBLANK(Hoja2!D15)=TRUE," ",Hoja2!D15)</f>
        <v xml:space="preserve"> </v>
      </c>
      <c r="D18" s="29" t="str">
        <f>IF(ISBLANK(Hoja2!E15)=TRUE," ",Hoja2!E15)</f>
        <v xml:space="preserve"> </v>
      </c>
      <c r="E18" s="29" t="str">
        <f>IF(ISBLANK(Hoja2!F15)=TRUE," ",Hoja2!F15)</f>
        <v xml:space="preserve"> </v>
      </c>
      <c r="F18" s="29" t="str">
        <f>IF(ISBLANK(Hoja2!G15)=TRUE," ",Hoja2!G15)</f>
        <v xml:space="preserve"> </v>
      </c>
      <c r="G18" s="29" t="str">
        <f>IF(ISBLANK(Hoja2!H15)=TRUE," ",Hoja2!H15)</f>
        <v xml:space="preserve"> </v>
      </c>
      <c r="H18" s="29" t="str">
        <f>IF(ISBLANK(Hoja2!I15)=TRUE," ",Hoja2!I15)</f>
        <v xml:space="preserve"> </v>
      </c>
      <c r="I18" s="29" t="str">
        <f>IF(ISBLANK(Hoja2!J15)=TRUE," ",Hoja2!J15)</f>
        <v xml:space="preserve"> </v>
      </c>
      <c r="J18" s="29" t="str">
        <f>IF(ISBLANK(Hoja2!K15)=TRUE," ",Hoja2!K15)</f>
        <v xml:space="preserve"> </v>
      </c>
      <c r="K18" s="29" t="str">
        <f>IF(ISBLANK(Hoja2!L15)=TRUE," ",Hoja2!L15)</f>
        <v xml:space="preserve"> </v>
      </c>
      <c r="L18" s="29" t="str">
        <f>IF(ISBLANK(Hoja2!M15)=TRUE," ",Hoja2!M15)</f>
        <v xml:space="preserve"> </v>
      </c>
      <c r="M18" s="29" t="str">
        <f>IF(ISBLANK(Hoja2!N15)=TRUE," ",Hoja2!N15)</f>
        <v xml:space="preserve"> </v>
      </c>
      <c r="N18" s="29" t="str">
        <f>IF(ISBLANK(Hoja2!O15)=TRUE," ",Hoja2!O15)</f>
        <v xml:space="preserve"> </v>
      </c>
      <c r="O18" s="29" t="str">
        <f>IF(ISBLANK(Hoja2!P15)=TRUE," ",Hoja2!P15)</f>
        <v xml:space="preserve"> </v>
      </c>
      <c r="P18" s="29" t="str">
        <f>IF(ISBLANK(Hoja2!Q15)=TRUE," ",Hoja2!Q15)</f>
        <v xml:space="preserve"> </v>
      </c>
      <c r="Q18" s="29" t="str">
        <f>IF(ISBLANK(Hoja2!R15)=TRUE," ",Hoja2!R15)</f>
        <v xml:space="preserve"> </v>
      </c>
      <c r="R18" s="29" t="str">
        <f>IF(ISBLANK(Hoja2!S15)=TRUE," ",Hoja2!S15)</f>
        <v xml:space="preserve"> </v>
      </c>
      <c r="S18" s="29" t="str">
        <f>IF(ISBLANK(Hoja2!T15)=TRUE," ",Hoja2!T15)</f>
        <v xml:space="preserve"> </v>
      </c>
      <c r="T18" s="29" t="str">
        <f>IF(ISBLANK(Hoja2!U15)=TRUE," ",Hoja2!U15)</f>
        <v xml:space="preserve"> </v>
      </c>
      <c r="U18" s="33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</row>
    <row r="19" spans="1:53" s="35" customFormat="1" ht="29.25" customHeight="1" x14ac:dyDescent="0.25">
      <c r="A19" s="29" t="str">
        <f>IF(ISBLANK(Hoja2!B16)=TRUE," ",Hoja2!B16)</f>
        <v xml:space="preserve"> </v>
      </c>
      <c r="B19" s="29" t="str">
        <f>IF(ISBLANK(Hoja2!C16)=TRUE," ",Hoja2!C16)</f>
        <v xml:space="preserve"> </v>
      </c>
      <c r="C19" s="29" t="str">
        <f>IF(ISBLANK(Hoja2!D16)=TRUE," ",Hoja2!D16)</f>
        <v xml:space="preserve"> </v>
      </c>
      <c r="D19" s="29" t="str">
        <f>IF(ISBLANK(Hoja2!E16)=TRUE," ",Hoja2!E16)</f>
        <v xml:space="preserve"> </v>
      </c>
      <c r="E19" s="29" t="str">
        <f>IF(ISBLANK(Hoja2!F16)=TRUE," ",Hoja2!F16)</f>
        <v xml:space="preserve"> </v>
      </c>
      <c r="F19" s="29" t="str">
        <f>IF(ISBLANK(Hoja2!G16)=TRUE," ",Hoja2!G16)</f>
        <v xml:space="preserve"> </v>
      </c>
      <c r="G19" s="29" t="str">
        <f>IF(ISBLANK(Hoja2!H16)=TRUE," ",Hoja2!H16)</f>
        <v xml:space="preserve"> </v>
      </c>
      <c r="H19" s="29" t="str">
        <f>IF(ISBLANK(Hoja2!I16)=TRUE," ",Hoja2!I16)</f>
        <v xml:space="preserve"> </v>
      </c>
      <c r="I19" s="29" t="str">
        <f>IF(ISBLANK(Hoja2!J16)=TRUE," ",Hoja2!J16)</f>
        <v xml:space="preserve"> </v>
      </c>
      <c r="J19" s="29" t="str">
        <f>IF(ISBLANK(Hoja2!K16)=TRUE," ",Hoja2!K16)</f>
        <v xml:space="preserve"> </v>
      </c>
      <c r="K19" s="29" t="str">
        <f>IF(ISBLANK(Hoja2!L16)=TRUE," ",Hoja2!L16)</f>
        <v xml:space="preserve"> </v>
      </c>
      <c r="L19" s="29" t="str">
        <f>IF(ISBLANK(Hoja2!M16)=TRUE," ",Hoja2!M16)</f>
        <v xml:space="preserve"> </v>
      </c>
      <c r="M19" s="29" t="str">
        <f>IF(ISBLANK(Hoja2!N16)=TRUE," ",Hoja2!N16)</f>
        <v xml:space="preserve"> </v>
      </c>
      <c r="N19" s="29" t="str">
        <f>IF(ISBLANK(Hoja2!O16)=TRUE," ",Hoja2!O16)</f>
        <v xml:space="preserve"> </v>
      </c>
      <c r="O19" s="29" t="str">
        <f>IF(ISBLANK(Hoja2!P16)=TRUE," ",Hoja2!P16)</f>
        <v xml:space="preserve"> </v>
      </c>
      <c r="P19" s="29" t="str">
        <f>IF(ISBLANK(Hoja2!Q16)=TRUE," ",Hoja2!Q16)</f>
        <v xml:space="preserve"> </v>
      </c>
      <c r="Q19" s="29" t="str">
        <f>IF(ISBLANK(Hoja2!R16)=TRUE," ",Hoja2!R16)</f>
        <v xml:space="preserve"> </v>
      </c>
      <c r="R19" s="29" t="str">
        <f>IF(ISBLANK(Hoja2!S16)=TRUE," ",Hoja2!S16)</f>
        <v xml:space="preserve"> </v>
      </c>
      <c r="S19" s="29" t="str">
        <f>IF(ISBLANK(Hoja2!T16)=TRUE," ",Hoja2!T16)</f>
        <v xml:space="preserve"> </v>
      </c>
      <c r="T19" s="29" t="str">
        <f>IF(ISBLANK(Hoja2!U16)=TRUE," ",Hoja2!U16)</f>
        <v xml:space="preserve"> </v>
      </c>
      <c r="U19" s="33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</row>
    <row r="20" spans="1:53" s="35" customFormat="1" ht="29.25" customHeight="1" x14ac:dyDescent="0.25">
      <c r="A20" s="29" t="str">
        <f>IF(ISBLANK(Hoja2!B17)=TRUE," ",Hoja2!B17)</f>
        <v xml:space="preserve"> </v>
      </c>
      <c r="B20" s="29" t="str">
        <f>IF(ISBLANK(Hoja2!C17)=TRUE," ",Hoja2!C17)</f>
        <v xml:space="preserve"> </v>
      </c>
      <c r="C20" s="29" t="str">
        <f>IF(ISBLANK(Hoja2!D17)=TRUE," ",Hoja2!D17)</f>
        <v xml:space="preserve"> </v>
      </c>
      <c r="D20" s="29" t="str">
        <f>IF(ISBLANK(Hoja2!E17)=TRUE," ",Hoja2!E17)</f>
        <v xml:space="preserve"> </v>
      </c>
      <c r="E20" s="29" t="str">
        <f>IF(ISBLANK(Hoja2!F17)=TRUE," ",Hoja2!F17)</f>
        <v xml:space="preserve"> </v>
      </c>
      <c r="F20" s="29" t="str">
        <f>IF(ISBLANK(Hoja2!G17)=TRUE," ",Hoja2!G17)</f>
        <v xml:space="preserve"> </v>
      </c>
      <c r="G20" s="29" t="str">
        <f>IF(ISBLANK(Hoja2!H17)=TRUE," ",Hoja2!H17)</f>
        <v xml:space="preserve"> </v>
      </c>
      <c r="H20" s="29" t="str">
        <f>IF(ISBLANK(Hoja2!I17)=TRUE," ",Hoja2!I17)</f>
        <v xml:space="preserve"> </v>
      </c>
      <c r="I20" s="29" t="str">
        <f>IF(ISBLANK(Hoja2!J17)=TRUE," ",Hoja2!J17)</f>
        <v xml:space="preserve"> </v>
      </c>
      <c r="J20" s="29" t="str">
        <f>IF(ISBLANK(Hoja2!K17)=TRUE," ",Hoja2!K17)</f>
        <v xml:space="preserve"> </v>
      </c>
      <c r="K20" s="29" t="str">
        <f>IF(ISBLANK(Hoja2!L17)=TRUE," ",Hoja2!L17)</f>
        <v xml:space="preserve"> </v>
      </c>
      <c r="L20" s="29" t="str">
        <f>IF(ISBLANK(Hoja2!M17)=TRUE," ",Hoja2!M17)</f>
        <v xml:space="preserve"> </v>
      </c>
      <c r="M20" s="29" t="str">
        <f>IF(ISBLANK(Hoja2!N17)=TRUE," ",Hoja2!N17)</f>
        <v xml:space="preserve"> </v>
      </c>
      <c r="N20" s="29" t="str">
        <f>IF(ISBLANK(Hoja2!O17)=TRUE," ",Hoja2!O17)</f>
        <v xml:space="preserve"> </v>
      </c>
      <c r="O20" s="29" t="str">
        <f>IF(ISBLANK(Hoja2!P17)=TRUE," ",Hoja2!P17)</f>
        <v xml:space="preserve"> </v>
      </c>
      <c r="P20" s="29" t="str">
        <f>IF(ISBLANK(Hoja2!Q17)=TRUE," ",Hoja2!Q17)</f>
        <v xml:space="preserve"> </v>
      </c>
      <c r="Q20" s="29" t="str">
        <f>IF(ISBLANK(Hoja2!R17)=TRUE," ",Hoja2!R17)</f>
        <v xml:space="preserve"> </v>
      </c>
      <c r="R20" s="29" t="str">
        <f>IF(ISBLANK(Hoja2!S17)=TRUE," ",Hoja2!S17)</f>
        <v xml:space="preserve"> </v>
      </c>
      <c r="S20" s="29" t="str">
        <f>IF(ISBLANK(Hoja2!T17)=TRUE," ",Hoja2!T17)</f>
        <v xml:space="preserve"> </v>
      </c>
      <c r="T20" s="29" t="str">
        <f>IF(ISBLANK(Hoja2!U17)=TRUE," ",Hoja2!U17)</f>
        <v xml:space="preserve"> </v>
      </c>
      <c r="U20" s="33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</row>
    <row r="21" spans="1:53" s="35" customFormat="1" ht="29.25" customHeight="1" x14ac:dyDescent="0.25">
      <c r="A21" s="29" t="str">
        <f>IF(ISBLANK(Hoja2!B18)=TRUE," ",Hoja2!B18)</f>
        <v xml:space="preserve"> </v>
      </c>
      <c r="B21" s="29" t="str">
        <f>IF(ISBLANK(Hoja2!C18)=TRUE," ",Hoja2!C18)</f>
        <v xml:space="preserve"> </v>
      </c>
      <c r="C21" s="29" t="str">
        <f>IF(ISBLANK(Hoja2!D18)=TRUE," ",Hoja2!D18)</f>
        <v xml:space="preserve"> </v>
      </c>
      <c r="D21" s="29" t="str">
        <f>IF(ISBLANK(Hoja2!E18)=TRUE," ",Hoja2!E18)</f>
        <v xml:space="preserve"> </v>
      </c>
      <c r="E21" s="29" t="str">
        <f>IF(ISBLANK(Hoja2!F18)=TRUE," ",Hoja2!F18)</f>
        <v xml:space="preserve"> </v>
      </c>
      <c r="F21" s="29" t="str">
        <f>IF(ISBLANK(Hoja2!G18)=TRUE," ",Hoja2!G18)</f>
        <v xml:space="preserve"> </v>
      </c>
      <c r="G21" s="29" t="str">
        <f>IF(ISBLANK(Hoja2!H18)=TRUE," ",Hoja2!H18)</f>
        <v xml:space="preserve"> </v>
      </c>
      <c r="H21" s="29" t="str">
        <f>IF(ISBLANK(Hoja2!I18)=TRUE," ",Hoja2!I18)</f>
        <v xml:space="preserve"> </v>
      </c>
      <c r="I21" s="29" t="str">
        <f>IF(ISBLANK(Hoja2!J18)=TRUE," ",Hoja2!J18)</f>
        <v xml:space="preserve"> </v>
      </c>
      <c r="J21" s="29" t="str">
        <f>IF(ISBLANK(Hoja2!K18)=TRUE," ",Hoja2!K18)</f>
        <v xml:space="preserve"> </v>
      </c>
      <c r="K21" s="29" t="str">
        <f>IF(ISBLANK(Hoja2!L18)=TRUE," ",Hoja2!L18)</f>
        <v xml:space="preserve"> </v>
      </c>
      <c r="L21" s="29" t="str">
        <f>IF(ISBLANK(Hoja2!M18)=TRUE," ",Hoja2!M18)</f>
        <v xml:space="preserve"> </v>
      </c>
      <c r="M21" s="29" t="str">
        <f>IF(ISBLANK(Hoja2!N18)=TRUE," ",Hoja2!N18)</f>
        <v xml:space="preserve"> </v>
      </c>
      <c r="N21" s="29" t="str">
        <f>IF(ISBLANK(Hoja2!O18)=TRUE," ",Hoja2!O18)</f>
        <v xml:space="preserve"> </v>
      </c>
      <c r="O21" s="29" t="str">
        <f>IF(ISBLANK(Hoja2!P18)=TRUE," ",Hoja2!P18)</f>
        <v xml:space="preserve"> </v>
      </c>
      <c r="P21" s="29" t="str">
        <f>IF(ISBLANK(Hoja2!Q18)=TRUE," ",Hoja2!Q18)</f>
        <v xml:space="preserve"> </v>
      </c>
      <c r="Q21" s="29" t="str">
        <f>IF(ISBLANK(Hoja2!R18)=TRUE," ",Hoja2!R18)</f>
        <v xml:space="preserve"> </v>
      </c>
      <c r="R21" s="29" t="str">
        <f>IF(ISBLANK(Hoja2!S18)=TRUE," ",Hoja2!S18)</f>
        <v xml:space="preserve"> </v>
      </c>
      <c r="S21" s="29" t="str">
        <f>IF(ISBLANK(Hoja2!T18)=TRUE," ",Hoja2!T18)</f>
        <v xml:space="preserve"> </v>
      </c>
      <c r="T21" s="29" t="str">
        <f>IF(ISBLANK(Hoja2!U18)=TRUE," ",Hoja2!U18)</f>
        <v xml:space="preserve"> </v>
      </c>
      <c r="U21" s="33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</row>
    <row r="22" spans="1:53" s="35" customFormat="1" ht="29.25" customHeight="1" x14ac:dyDescent="0.25">
      <c r="A22" s="29" t="str">
        <f>IF(ISBLANK(Hoja2!B19)=TRUE," ",Hoja2!B19)</f>
        <v xml:space="preserve"> </v>
      </c>
      <c r="B22" s="29" t="str">
        <f>IF(ISBLANK(Hoja2!C19)=TRUE," ",Hoja2!C19)</f>
        <v xml:space="preserve"> </v>
      </c>
      <c r="C22" s="29" t="str">
        <f>IF(ISBLANK(Hoja2!D19)=TRUE," ",Hoja2!D19)</f>
        <v xml:space="preserve"> </v>
      </c>
      <c r="D22" s="29" t="str">
        <f>IF(ISBLANK(Hoja2!E19)=TRUE," ",Hoja2!E19)</f>
        <v xml:space="preserve"> </v>
      </c>
      <c r="E22" s="29" t="str">
        <f>IF(ISBLANK(Hoja2!F19)=TRUE," ",Hoja2!F19)</f>
        <v xml:space="preserve"> </v>
      </c>
      <c r="F22" s="29" t="str">
        <f>IF(ISBLANK(Hoja2!G19)=TRUE," ",Hoja2!G19)</f>
        <v xml:space="preserve"> </v>
      </c>
      <c r="G22" s="29" t="str">
        <f>IF(ISBLANK(Hoja2!H19)=TRUE," ",Hoja2!H19)</f>
        <v xml:space="preserve"> </v>
      </c>
      <c r="H22" s="29" t="str">
        <f>IF(ISBLANK(Hoja2!I19)=TRUE," ",Hoja2!I19)</f>
        <v xml:space="preserve"> </v>
      </c>
      <c r="I22" s="29" t="str">
        <f>IF(ISBLANK(Hoja2!J19)=TRUE," ",Hoja2!J19)</f>
        <v xml:space="preserve"> </v>
      </c>
      <c r="J22" s="29" t="str">
        <f>IF(ISBLANK(Hoja2!K19)=TRUE," ",Hoja2!K19)</f>
        <v xml:space="preserve"> </v>
      </c>
      <c r="K22" s="29" t="str">
        <f>IF(ISBLANK(Hoja2!L19)=TRUE," ",Hoja2!L19)</f>
        <v xml:space="preserve"> </v>
      </c>
      <c r="L22" s="29" t="str">
        <f>IF(ISBLANK(Hoja2!M19)=TRUE," ",Hoja2!M19)</f>
        <v xml:space="preserve"> </v>
      </c>
      <c r="M22" s="29" t="str">
        <f>IF(ISBLANK(Hoja2!N19)=TRUE," ",Hoja2!N19)</f>
        <v xml:space="preserve"> </v>
      </c>
      <c r="N22" s="29" t="str">
        <f>IF(ISBLANK(Hoja2!O19)=TRUE," ",Hoja2!O19)</f>
        <v xml:space="preserve"> </v>
      </c>
      <c r="O22" s="29" t="str">
        <f>IF(ISBLANK(Hoja2!P19)=TRUE," ",Hoja2!P19)</f>
        <v xml:space="preserve"> </v>
      </c>
      <c r="P22" s="29" t="str">
        <f>IF(ISBLANK(Hoja2!Q19)=TRUE," ",Hoja2!Q19)</f>
        <v xml:space="preserve"> </v>
      </c>
      <c r="Q22" s="29" t="str">
        <f>IF(ISBLANK(Hoja2!R19)=TRUE," ",Hoja2!R19)</f>
        <v xml:space="preserve"> </v>
      </c>
      <c r="R22" s="29" t="str">
        <f>IF(ISBLANK(Hoja2!S19)=TRUE," ",Hoja2!S19)</f>
        <v xml:space="preserve"> </v>
      </c>
      <c r="S22" s="29" t="str">
        <f>IF(ISBLANK(Hoja2!T19)=TRUE," ",Hoja2!T19)</f>
        <v xml:space="preserve"> </v>
      </c>
      <c r="T22" s="29" t="str">
        <f>IF(ISBLANK(Hoja2!U19)=TRUE," ",Hoja2!U19)</f>
        <v xml:space="preserve"> </v>
      </c>
      <c r="U22" s="33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</row>
    <row r="23" spans="1:53" s="35" customFormat="1" ht="29.25" customHeight="1" x14ac:dyDescent="0.25">
      <c r="A23" s="29" t="str">
        <f>IF(ISBLANK(Hoja2!B20)=TRUE," ",Hoja2!B20)</f>
        <v xml:space="preserve"> </v>
      </c>
      <c r="B23" s="29" t="str">
        <f>IF(ISBLANK(Hoja2!C20)=TRUE," ",Hoja2!C20)</f>
        <v xml:space="preserve"> </v>
      </c>
      <c r="C23" s="29" t="str">
        <f>IF(ISBLANK(Hoja2!D20)=TRUE," ",Hoja2!D20)</f>
        <v xml:space="preserve"> </v>
      </c>
      <c r="D23" s="29" t="str">
        <f>IF(ISBLANK(Hoja2!E20)=TRUE," ",Hoja2!E20)</f>
        <v xml:space="preserve"> </v>
      </c>
      <c r="E23" s="29" t="str">
        <f>IF(ISBLANK(Hoja2!F20)=TRUE," ",Hoja2!F20)</f>
        <v xml:space="preserve"> </v>
      </c>
      <c r="F23" s="29" t="str">
        <f>IF(ISBLANK(Hoja2!G20)=TRUE," ",Hoja2!G20)</f>
        <v xml:space="preserve"> </v>
      </c>
      <c r="G23" s="29" t="str">
        <f>IF(ISBLANK(Hoja2!H20)=TRUE," ",Hoja2!H20)</f>
        <v xml:space="preserve"> </v>
      </c>
      <c r="H23" s="29" t="str">
        <f>IF(ISBLANK(Hoja2!I20)=TRUE," ",Hoja2!I20)</f>
        <v xml:space="preserve"> </v>
      </c>
      <c r="I23" s="29" t="str">
        <f>IF(ISBLANK(Hoja2!J20)=TRUE," ",Hoja2!J20)</f>
        <v xml:space="preserve"> </v>
      </c>
      <c r="J23" s="29" t="str">
        <f>IF(ISBLANK(Hoja2!K20)=TRUE," ",Hoja2!K20)</f>
        <v xml:space="preserve"> </v>
      </c>
      <c r="K23" s="29" t="str">
        <f>IF(ISBLANK(Hoja2!L20)=TRUE," ",Hoja2!L20)</f>
        <v xml:space="preserve"> </v>
      </c>
      <c r="L23" s="29" t="str">
        <f>IF(ISBLANK(Hoja2!M20)=TRUE," ",Hoja2!M20)</f>
        <v xml:space="preserve"> </v>
      </c>
      <c r="M23" s="29" t="str">
        <f>IF(ISBLANK(Hoja2!N20)=TRUE," ",Hoja2!N20)</f>
        <v xml:space="preserve"> </v>
      </c>
      <c r="N23" s="29" t="str">
        <f>IF(ISBLANK(Hoja2!O20)=TRUE," ",Hoja2!O20)</f>
        <v xml:space="preserve"> </v>
      </c>
      <c r="O23" s="29" t="str">
        <f>IF(ISBLANK(Hoja2!P20)=TRUE," ",Hoja2!P20)</f>
        <v xml:space="preserve"> </v>
      </c>
      <c r="P23" s="29" t="str">
        <f>IF(ISBLANK(Hoja2!Q20)=TRUE," ",Hoja2!Q20)</f>
        <v xml:space="preserve"> </v>
      </c>
      <c r="Q23" s="29" t="str">
        <f>IF(ISBLANK(Hoja2!R20)=TRUE," ",Hoja2!R20)</f>
        <v xml:space="preserve"> </v>
      </c>
      <c r="R23" s="29" t="str">
        <f>IF(ISBLANK(Hoja2!S20)=TRUE," ",Hoja2!S20)</f>
        <v xml:space="preserve"> </v>
      </c>
      <c r="S23" s="29" t="str">
        <f>IF(ISBLANK(Hoja2!T20)=TRUE," ",Hoja2!T20)</f>
        <v xml:space="preserve"> </v>
      </c>
      <c r="T23" s="29" t="str">
        <f>IF(ISBLANK(Hoja2!U20)=TRUE," ",Hoja2!U20)</f>
        <v xml:space="preserve"> </v>
      </c>
      <c r="U23" s="33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</row>
    <row r="24" spans="1:53" s="35" customFormat="1" ht="29.25" customHeight="1" x14ac:dyDescent="0.25">
      <c r="A24" s="29" t="str">
        <f>IF(ISBLANK(Hoja2!B21)=TRUE," ",Hoja2!B21)</f>
        <v xml:space="preserve"> </v>
      </c>
      <c r="B24" s="29" t="str">
        <f>IF(ISBLANK(Hoja2!C21)=TRUE," ",Hoja2!C21)</f>
        <v xml:space="preserve"> </v>
      </c>
      <c r="C24" s="29" t="str">
        <f>IF(ISBLANK(Hoja2!D21)=TRUE," ",Hoja2!D21)</f>
        <v xml:space="preserve"> </v>
      </c>
      <c r="D24" s="29" t="str">
        <f>IF(ISBLANK(Hoja2!E21)=TRUE," ",Hoja2!E21)</f>
        <v xml:space="preserve"> </v>
      </c>
      <c r="E24" s="29" t="str">
        <f>IF(ISBLANK(Hoja2!F21)=TRUE," ",Hoja2!F21)</f>
        <v xml:space="preserve"> </v>
      </c>
      <c r="F24" s="29" t="str">
        <f>IF(ISBLANK(Hoja2!G21)=TRUE," ",Hoja2!G21)</f>
        <v xml:space="preserve"> </v>
      </c>
      <c r="G24" s="29" t="str">
        <f>IF(ISBLANK(Hoja2!H21)=TRUE," ",Hoja2!H21)</f>
        <v xml:space="preserve"> </v>
      </c>
      <c r="H24" s="29" t="str">
        <f>IF(ISBLANK(Hoja2!I21)=TRUE," ",Hoja2!I21)</f>
        <v xml:space="preserve"> </v>
      </c>
      <c r="I24" s="29" t="str">
        <f>IF(ISBLANK(Hoja2!J21)=TRUE," ",Hoja2!J21)</f>
        <v xml:space="preserve"> </v>
      </c>
      <c r="J24" s="29" t="str">
        <f>IF(ISBLANK(Hoja2!K21)=TRUE," ",Hoja2!K21)</f>
        <v xml:space="preserve"> </v>
      </c>
      <c r="K24" s="29" t="str">
        <f>IF(ISBLANK(Hoja2!L21)=TRUE," ",Hoja2!L21)</f>
        <v xml:space="preserve"> </v>
      </c>
      <c r="L24" s="29" t="str">
        <f>IF(ISBLANK(Hoja2!M21)=TRUE," ",Hoja2!M21)</f>
        <v xml:space="preserve"> </v>
      </c>
      <c r="M24" s="29" t="str">
        <f>IF(ISBLANK(Hoja2!N21)=TRUE," ",Hoja2!N21)</f>
        <v xml:space="preserve"> </v>
      </c>
      <c r="N24" s="29" t="str">
        <f>IF(ISBLANK(Hoja2!O21)=TRUE," ",Hoja2!O21)</f>
        <v xml:space="preserve"> </v>
      </c>
      <c r="O24" s="29" t="str">
        <f>IF(ISBLANK(Hoja2!P21)=TRUE," ",Hoja2!P21)</f>
        <v xml:space="preserve"> </v>
      </c>
      <c r="P24" s="29" t="str">
        <f>IF(ISBLANK(Hoja2!Q21)=TRUE," ",Hoja2!Q21)</f>
        <v xml:space="preserve"> </v>
      </c>
      <c r="Q24" s="29" t="str">
        <f>IF(ISBLANK(Hoja2!R21)=TRUE," ",Hoja2!R21)</f>
        <v xml:space="preserve"> </v>
      </c>
      <c r="R24" s="29" t="str">
        <f>IF(ISBLANK(Hoja2!S21)=TRUE," ",Hoja2!S21)</f>
        <v xml:space="preserve"> </v>
      </c>
      <c r="S24" s="29" t="str">
        <f>IF(ISBLANK(Hoja2!T21)=TRUE," ",Hoja2!T21)</f>
        <v xml:space="preserve"> </v>
      </c>
      <c r="T24" s="29" t="str">
        <f>IF(ISBLANK(Hoja2!U21)=TRUE," ",Hoja2!U21)</f>
        <v xml:space="preserve"> </v>
      </c>
      <c r="U24" s="33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</row>
    <row r="25" spans="1:53" ht="29.25" customHeight="1" x14ac:dyDescent="0.25">
      <c r="L25" s="28"/>
      <c r="M25" s="28"/>
      <c r="N25" s="28"/>
      <c r="O25" s="28"/>
      <c r="P25" s="28"/>
      <c r="Q25" s="28"/>
      <c r="R25" s="28"/>
      <c r="S25" s="28"/>
      <c r="T25" s="28"/>
      <c r="AW25" s="20"/>
      <c r="AX25" s="20"/>
      <c r="AY25" s="20"/>
      <c r="AZ25" s="20"/>
      <c r="BA25" s="20"/>
    </row>
    <row r="26" spans="1:53" ht="29.25" customHeight="1" thickBot="1" x14ac:dyDescent="0.3">
      <c r="A26" s="39" t="s">
        <v>1852</v>
      </c>
      <c r="B26" s="40"/>
      <c r="C26" s="40"/>
      <c r="D26" s="40"/>
      <c r="E26" s="40"/>
      <c r="F26" s="40"/>
      <c r="G26" s="40"/>
      <c r="H26" s="28"/>
      <c r="I26" s="25" t="s">
        <v>1845</v>
      </c>
      <c r="J26" s="28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38"/>
      <c r="AW26" s="6"/>
      <c r="AX26" s="6"/>
      <c r="AY26" s="4"/>
      <c r="AZ26" s="4"/>
      <c r="BA26" s="4"/>
    </row>
    <row r="27" spans="1:53" ht="29.25" customHeight="1" x14ac:dyDescent="0.2">
      <c r="A27" s="8"/>
    </row>
    <row r="28" spans="1:53" ht="29.25" customHeight="1" thickBot="1" x14ac:dyDescent="0.3">
      <c r="A28" s="39" t="s">
        <v>1846</v>
      </c>
      <c r="B28" s="41"/>
      <c r="C28" s="41"/>
      <c r="D28" s="42"/>
      <c r="E28" s="42"/>
      <c r="F28" s="41"/>
      <c r="G28" s="41"/>
      <c r="H28" s="25"/>
      <c r="I28" s="28" t="s">
        <v>1842</v>
      </c>
      <c r="J28" s="25"/>
      <c r="K28" s="27"/>
      <c r="L28" s="43"/>
      <c r="M28" s="43"/>
      <c r="N28" s="44"/>
      <c r="O28" s="43"/>
      <c r="P28" s="45"/>
      <c r="Q28" s="45"/>
      <c r="R28" s="43"/>
      <c r="S28" s="43"/>
      <c r="T28" s="43"/>
      <c r="AW28" s="7"/>
      <c r="AX28" s="7"/>
    </row>
    <row r="29" spans="1:53" ht="29.25" customHeight="1" x14ac:dyDescent="0.2">
      <c r="A29" s="8"/>
    </row>
    <row r="30" spans="1:53" ht="29.25" customHeight="1" thickBot="1" x14ac:dyDescent="0.3">
      <c r="A30" s="39" t="s">
        <v>1843</v>
      </c>
      <c r="B30" s="40"/>
      <c r="C30" s="40"/>
      <c r="D30" s="40"/>
      <c r="E30" s="40"/>
      <c r="F30" s="40"/>
      <c r="G30" s="40"/>
      <c r="H30" s="28"/>
      <c r="I30" s="28" t="s">
        <v>6</v>
      </c>
      <c r="K30" s="43"/>
      <c r="L30" s="43"/>
      <c r="M30" s="43"/>
      <c r="N30" s="44"/>
      <c r="O30" s="43"/>
      <c r="P30" s="45"/>
      <c r="Q30" s="45"/>
      <c r="R30" s="43"/>
      <c r="S30" s="43"/>
      <c r="T30" s="43"/>
    </row>
    <row r="31" spans="1:53" ht="18" x14ac:dyDescent="0.25">
      <c r="A31" s="27"/>
      <c r="B31" s="27"/>
      <c r="C31" s="27"/>
      <c r="D31" s="27"/>
      <c r="E31" s="27"/>
      <c r="F31" s="27"/>
      <c r="G31" s="27"/>
      <c r="H31" s="27"/>
      <c r="I31" s="27"/>
      <c r="J31" s="25"/>
      <c r="K31" s="27"/>
    </row>
  </sheetData>
  <sortState ref="A5:AD6">
    <sortCondition descending="1" ref="F5"/>
  </sortState>
  <mergeCells count="3">
    <mergeCell ref="A1:U1"/>
    <mergeCell ref="A2:U2"/>
    <mergeCell ref="A3:U3"/>
  </mergeCells>
  <printOptions horizontalCentered="1"/>
  <pageMargins left="0.19685039370078741" right="0.19685039370078741" top="0.19685039370078741" bottom="0.19685039370078741" header="0" footer="0"/>
  <pageSetup paperSize="14" scale="59" orientation="landscape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pageSetUpPr fitToPage="1"/>
  </sheetPr>
  <dimension ref="A1:BA33"/>
  <sheetViews>
    <sheetView view="pageBreakPreview" zoomScale="74" zoomScaleNormal="74" zoomScaleSheetLayoutView="74" workbookViewId="0">
      <selection activeCell="G10" sqref="G10"/>
    </sheetView>
  </sheetViews>
  <sheetFormatPr baseColWidth="10" defaultColWidth="6.28515625" defaultRowHeight="12.75" x14ac:dyDescent="0.2"/>
  <cols>
    <col min="1" max="1" width="11.7109375" style="3" bestFit="1" customWidth="1"/>
    <col min="2" max="3" width="6.28515625" style="3"/>
    <col min="4" max="5" width="6.28515625" style="9"/>
    <col min="6" max="13" width="6.28515625" style="3"/>
    <col min="14" max="14" width="6.28515625" style="5"/>
    <col min="15" max="15" width="6.28515625" style="3"/>
    <col min="16" max="16" width="6.28515625" style="7"/>
    <col min="17" max="17" width="22.85546875" style="7" customWidth="1"/>
    <col min="18" max="20" width="22.85546875" style="3" customWidth="1"/>
    <col min="21" max="21" width="11.5703125" style="3" bestFit="1" customWidth="1"/>
    <col min="22" max="22" width="19.140625" style="17" customWidth="1"/>
    <col min="23" max="48" width="6.28515625" style="17"/>
    <col min="49" max="16384" width="6.28515625" style="3"/>
  </cols>
  <sheetData>
    <row r="1" spans="1:48" ht="36.75" customHeight="1" x14ac:dyDescent="0.2">
      <c r="A1" s="146" t="s">
        <v>1833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</row>
    <row r="2" spans="1:48" ht="34.5" customHeight="1" x14ac:dyDescent="0.2">
      <c r="A2" s="146" t="s">
        <v>518</v>
      </c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</row>
    <row r="3" spans="1:48" ht="26.25" customHeight="1" x14ac:dyDescent="0.2">
      <c r="A3" s="147" t="s">
        <v>1835</v>
      </c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47"/>
      <c r="Q3" s="147"/>
      <c r="R3" s="147"/>
      <c r="S3" s="147"/>
      <c r="T3" s="147"/>
      <c r="U3" s="147"/>
      <c r="V3" s="147"/>
      <c r="W3" s="147"/>
      <c r="X3" s="147"/>
    </row>
    <row r="4" spans="1:48" s="63" customFormat="1" ht="105" customHeight="1" x14ac:dyDescent="0.25">
      <c r="A4" s="64" t="s">
        <v>538</v>
      </c>
      <c r="B4" s="64" t="s">
        <v>539</v>
      </c>
      <c r="C4" s="64" t="s">
        <v>540</v>
      </c>
      <c r="D4" s="64" t="s">
        <v>80</v>
      </c>
      <c r="E4" s="64" t="s">
        <v>541</v>
      </c>
      <c r="F4" s="64" t="s">
        <v>542</v>
      </c>
      <c r="G4" s="64" t="s">
        <v>543</v>
      </c>
      <c r="H4" s="64" t="s">
        <v>544</v>
      </c>
      <c r="I4" s="64" t="s">
        <v>545</v>
      </c>
      <c r="J4" s="64" t="s">
        <v>1854</v>
      </c>
      <c r="K4" s="64" t="s">
        <v>1855</v>
      </c>
      <c r="L4" s="64" t="s">
        <v>546</v>
      </c>
      <c r="M4" s="64" t="s">
        <v>547</v>
      </c>
      <c r="N4" s="64" t="s">
        <v>548</v>
      </c>
      <c r="O4" s="64" t="s">
        <v>549</v>
      </c>
      <c r="P4" s="64" t="s">
        <v>550</v>
      </c>
      <c r="Q4" s="65" t="s">
        <v>525</v>
      </c>
      <c r="R4" s="65" t="s">
        <v>526</v>
      </c>
      <c r="S4" s="65" t="s">
        <v>527</v>
      </c>
      <c r="T4" s="65" t="s">
        <v>528</v>
      </c>
      <c r="U4" s="64" t="s">
        <v>1847</v>
      </c>
      <c r="V4" s="64" t="s">
        <v>551</v>
      </c>
      <c r="W4" s="64" t="s">
        <v>552</v>
      </c>
      <c r="X4" s="64" t="s">
        <v>524</v>
      </c>
    </row>
    <row r="5" spans="1:48" s="15" customFormat="1" ht="23.25" customHeight="1" x14ac:dyDescent="0.25">
      <c r="A5" s="29" t="str">
        <f>IFERROR(IF(ISBLANK(Hoja2!V2)=TRUE," ",Hoja2!V2)," ")</f>
        <v xml:space="preserve"> </v>
      </c>
      <c r="B5" s="29" t="str">
        <f>IFERROR(IF(ISBLANK(Hoja2!W2)=TRUE," ",Hoja2!W2)," ")</f>
        <v xml:space="preserve"> </v>
      </c>
      <c r="C5" s="29" t="str">
        <f>IFERROR(IF(ISBLANK(Hoja2!X2)=TRUE," ",Hoja2!X2)," ")</f>
        <v xml:space="preserve"> </v>
      </c>
      <c r="D5" s="29" t="str">
        <f>IFERROR(IF(ISBLANK(Hoja2!Y2)=TRUE," ",Hoja2!Y2)," ")</f>
        <v xml:space="preserve"> </v>
      </c>
      <c r="E5" s="29" t="str">
        <f>IFERROR(IF(ISBLANK(Hoja2!Z2)=TRUE," ",Hoja2!Z2)," ")</f>
        <v xml:space="preserve"> </v>
      </c>
      <c r="F5" s="29" t="str">
        <f>IFERROR(IF(ISBLANK(Hoja2!AA2)=TRUE," ",Hoja2!AA2)," ")</f>
        <v xml:space="preserve"> </v>
      </c>
      <c r="G5" s="29" t="str">
        <f>IFERROR(IF(ISBLANK(Hoja2!AB2)=TRUE," ",Hoja2!AB2)," ")</f>
        <v xml:space="preserve"> </v>
      </c>
      <c r="H5" s="29" t="str">
        <f>IFERROR(IF(ISBLANK(Hoja2!AC2)=TRUE," ",Hoja2!AC2)," ")</f>
        <v xml:space="preserve"> </v>
      </c>
      <c r="I5" s="29" t="str">
        <f>IFERROR(IF(ISBLANK(Hoja2!AD2)=TRUE," ",Hoja2!AD2)," ")</f>
        <v xml:space="preserve"> </v>
      </c>
      <c r="J5" s="29" t="str">
        <f>IFERROR(IF(ISBLANK(Hoja2!AE2)=TRUE," ",Hoja2!AE2)," ")</f>
        <v xml:space="preserve"> </v>
      </c>
      <c r="K5" s="29" t="str">
        <f>IFERROR(IF(ISBLANK(Hoja2!AF2)=TRUE," ",Hoja2!AF2)," ")</f>
        <v xml:space="preserve"> </v>
      </c>
      <c r="L5" s="29" t="str">
        <f>IFERROR(IF(ISBLANK(Hoja2!AG2)=TRUE," ",Hoja2!AG2)," ")</f>
        <v xml:space="preserve"> </v>
      </c>
      <c r="M5" s="29" t="str">
        <f>IFERROR(IF(ISBLANK(Hoja2!AH2)=TRUE," ",Hoja2!AH2)," ")</f>
        <v xml:space="preserve"> </v>
      </c>
      <c r="N5" s="29" t="str">
        <f>IFERROR(IF(ISBLANK(Hoja2!AI2)=TRUE," ",Hoja2!AI2)," ")</f>
        <v xml:space="preserve"> </v>
      </c>
      <c r="O5" s="29" t="str">
        <f>IFERROR(IF(ISBLANK(Hoja2!AJ2)=TRUE," ",Hoja2!AJ2)," ")</f>
        <v xml:space="preserve"> </v>
      </c>
      <c r="P5" s="29" t="str">
        <f>IFERROR(IF(ISBLANK(Hoja2!AK2)=TRUE," ",Hoja2!AK2)," ")</f>
        <v xml:space="preserve"> </v>
      </c>
      <c r="Q5" s="29" t="str">
        <f>IFERROR(IF(ISBLANK(Hoja2!AL2)=TRUE," ",Hoja2!AL2)," ")</f>
        <v xml:space="preserve"> </v>
      </c>
      <c r="R5" s="29" t="str">
        <f>IFERROR(IF(ISBLANK(Hoja2!AM2)=TRUE," ",Hoja2!AM2)," ")</f>
        <v xml:space="preserve"> </v>
      </c>
      <c r="S5" s="29" t="str">
        <f>IFERROR(IF(ISBLANK(Hoja2!AN2)=TRUE," ",Hoja2!AN2)," ")</f>
        <v xml:space="preserve"> </v>
      </c>
      <c r="T5" s="29" t="str">
        <f>IFERROR(IF(ISBLANK(Hoja2!AO2)=TRUE," ",Hoja2!AO2)," ")</f>
        <v xml:space="preserve"> </v>
      </c>
      <c r="U5" s="29" t="str">
        <f>IFERROR(IF(ISBLANK(Hoja2!AP2)=TRUE," ",Hoja2!AP2)," ")</f>
        <v xml:space="preserve"> </v>
      </c>
      <c r="V5" s="29" t="str">
        <f>IFERROR(IF(ISBLANK(Hoja2!AQ2)=TRUE," ",Hoja2!AQ2)," ")</f>
        <v xml:space="preserve"> </v>
      </c>
      <c r="W5" s="29" t="str">
        <f>IFERROR(IF(ISBLANK(Hoja2!AR2)=TRUE," ",Hoja2!AR2)," ")</f>
        <v xml:space="preserve"> </v>
      </c>
      <c r="X5" s="29" t="str">
        <f>IFERROR(IF(ISBLANK(Hoja2!AS2)=TRUE," ",Hoja2!AS2)," ")</f>
        <v xml:space="preserve"> </v>
      </c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s="15" customFormat="1" ht="23.25" customHeight="1" x14ac:dyDescent="0.25">
      <c r="A6" s="117"/>
      <c r="B6" s="117"/>
      <c r="C6" s="117"/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17"/>
      <c r="O6" s="117"/>
      <c r="P6" s="117"/>
      <c r="Q6" s="117"/>
      <c r="R6" s="117"/>
      <c r="S6" s="117"/>
      <c r="T6" s="117"/>
      <c r="U6" s="117"/>
      <c r="V6" s="117"/>
      <c r="W6" s="117"/>
      <c r="X6" s="117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</row>
    <row r="7" spans="1:48" s="15" customFormat="1" ht="23.25" customHeight="1" x14ac:dyDescent="0.25">
      <c r="A7" s="29" t="str">
        <f>IF(ISBLANK(Hoja2!V4)=TRUE," ",Hoja2!V4)</f>
        <v xml:space="preserve"> </v>
      </c>
      <c r="B7" s="29" t="str">
        <f>IF(ISBLANK(Hoja2!W4)=TRUE," ",Hoja2!W4)</f>
        <v xml:space="preserve"> </v>
      </c>
      <c r="C7" s="29" t="str">
        <f>IF(ISBLANK(Hoja2!X4)=TRUE," ",Hoja2!X4)</f>
        <v xml:space="preserve"> </v>
      </c>
      <c r="D7" s="29" t="str">
        <f>IF(ISBLANK(Hoja2!Y4)=TRUE," ",Hoja2!Y4)</f>
        <v xml:space="preserve"> </v>
      </c>
      <c r="E7" s="29" t="str">
        <f>IF(ISBLANK(Hoja2!Z4)=TRUE," ",Hoja2!Z4)</f>
        <v xml:space="preserve"> </v>
      </c>
      <c r="F7" s="29" t="str">
        <f>IF(ISBLANK(Hoja2!AA4)=TRUE," ",Hoja2!AA4)</f>
        <v xml:space="preserve"> </v>
      </c>
      <c r="G7" s="29" t="str">
        <f>IF(ISBLANK(Hoja2!AB4)=TRUE," ",Hoja2!AB4)</f>
        <v xml:space="preserve"> </v>
      </c>
      <c r="H7" s="29" t="str">
        <f>IF(ISBLANK(Hoja2!AC4)=TRUE," ",Hoja2!AC4)</f>
        <v xml:space="preserve"> </v>
      </c>
      <c r="I7" s="29" t="str">
        <f>IF(ISBLANK(Hoja2!AD4)=TRUE," ",Hoja2!AD4)</f>
        <v xml:space="preserve"> </v>
      </c>
      <c r="J7" s="29" t="str">
        <f>IF(ISBLANK(Hoja2!AE4)=TRUE," ",Hoja2!AE4)</f>
        <v xml:space="preserve"> </v>
      </c>
      <c r="K7" s="29" t="str">
        <f>IF(ISBLANK(Hoja2!AF4)=TRUE," ",Hoja2!AF4)</f>
        <v xml:space="preserve"> </v>
      </c>
      <c r="L7" s="29" t="str">
        <f>IF(ISBLANK(Hoja2!AG4)=TRUE," ",Hoja2!AG4)</f>
        <v xml:space="preserve"> </v>
      </c>
      <c r="M7" s="29" t="str">
        <f>IF(ISBLANK(Hoja2!AH4)=TRUE," ",Hoja2!AH4)</f>
        <v xml:space="preserve"> </v>
      </c>
      <c r="N7" s="29" t="str">
        <f>IF(ISBLANK(Hoja2!AI4)=TRUE," ",Hoja2!AI4)</f>
        <v xml:space="preserve"> </v>
      </c>
      <c r="O7" s="29" t="str">
        <f>IF(ISBLANK(Hoja2!AJ4)=TRUE," ",Hoja2!AJ4)</f>
        <v xml:space="preserve"> </v>
      </c>
      <c r="P7" s="29" t="str">
        <f>IF(ISBLANK(Hoja2!AK4)=TRUE," ",Hoja2!AK4)</f>
        <v xml:space="preserve"> </v>
      </c>
      <c r="Q7" s="29" t="str">
        <f>IF(ISBLANK(Hoja2!AL4)=TRUE," ",Hoja2!AL4)</f>
        <v xml:space="preserve"> </v>
      </c>
      <c r="R7" s="29" t="str">
        <f>IF(ISBLANK(Hoja2!AM4)=TRUE," ",Hoja2!AM4)</f>
        <v xml:space="preserve"> </v>
      </c>
      <c r="S7" s="29" t="str">
        <f>IF(ISBLANK(Hoja2!AN4)=TRUE," ",Hoja2!AN4)</f>
        <v xml:space="preserve"> </v>
      </c>
      <c r="T7" s="29" t="str">
        <f>IF(ISBLANK(Hoja2!AO4)=TRUE," ",Hoja2!AO4)</f>
        <v xml:space="preserve"> </v>
      </c>
      <c r="U7" s="29" t="str">
        <f>IF(ISBLANK(Hoja2!AP4)=TRUE," ",Hoja2!AP4)</f>
        <v xml:space="preserve"> </v>
      </c>
      <c r="V7" s="29" t="str">
        <f>IF(ISBLANK(Hoja2!AQ4)=TRUE," ",Hoja2!AQ4)</f>
        <v xml:space="preserve"> </v>
      </c>
      <c r="W7" s="29" t="str">
        <f>IF(ISBLANK(Hoja2!AR4)=TRUE," ",Hoja2!AR4)</f>
        <v xml:space="preserve"> </v>
      </c>
      <c r="X7" s="29" t="str">
        <f>IF(ISBLANK(Hoja2!AS4)=TRUE," ",Hoja2!AS4)</f>
        <v xml:space="preserve"> </v>
      </c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</row>
    <row r="8" spans="1:48" s="15" customFormat="1" ht="23.25" customHeight="1" x14ac:dyDescent="0.25">
      <c r="A8" s="29" t="str">
        <f>IF(ISBLANK(Hoja2!V5)=TRUE," ",Hoja2!V5)</f>
        <v xml:space="preserve"> </v>
      </c>
      <c r="B8" s="29" t="str">
        <f>IF(ISBLANK(Hoja2!W5)=TRUE," ",Hoja2!W5)</f>
        <v xml:space="preserve"> </v>
      </c>
      <c r="C8" s="29" t="str">
        <f>IF(ISBLANK(Hoja2!X5)=TRUE," ",Hoja2!X5)</f>
        <v xml:space="preserve"> </v>
      </c>
      <c r="D8" s="29" t="str">
        <f>IF(ISBLANK(Hoja2!Y5)=TRUE," ",Hoja2!Y5)</f>
        <v xml:space="preserve"> </v>
      </c>
      <c r="E8" s="29" t="str">
        <f>IF(ISBLANK(Hoja2!Z5)=TRUE," ",Hoja2!Z5)</f>
        <v xml:space="preserve"> </v>
      </c>
      <c r="F8" s="29" t="str">
        <f>IF(ISBLANK(Hoja2!AA5)=TRUE," ",Hoja2!AA5)</f>
        <v xml:space="preserve"> </v>
      </c>
      <c r="G8" s="29" t="str">
        <f>IF(ISBLANK(Hoja2!AB5)=TRUE," ",Hoja2!AB5)</f>
        <v xml:space="preserve"> </v>
      </c>
      <c r="H8" s="29" t="str">
        <f>IF(ISBLANK(Hoja2!AC5)=TRUE," ",Hoja2!AC5)</f>
        <v xml:space="preserve"> </v>
      </c>
      <c r="I8" s="29" t="str">
        <f>IF(ISBLANK(Hoja2!AD5)=TRUE," ",Hoja2!AD5)</f>
        <v xml:space="preserve"> </v>
      </c>
      <c r="J8" s="29" t="str">
        <f>IF(ISBLANK(Hoja2!AE5)=TRUE," ",Hoja2!AE5)</f>
        <v xml:space="preserve"> </v>
      </c>
      <c r="K8" s="29" t="str">
        <f>IF(ISBLANK(Hoja2!AF5)=TRUE," ",Hoja2!AF5)</f>
        <v xml:space="preserve"> </v>
      </c>
      <c r="L8" s="29" t="str">
        <f>IF(ISBLANK(Hoja2!AG5)=TRUE," ",Hoja2!AG5)</f>
        <v xml:space="preserve"> </v>
      </c>
      <c r="M8" s="29" t="str">
        <f>IF(ISBLANK(Hoja2!AH5)=TRUE," ",Hoja2!AH5)</f>
        <v xml:space="preserve"> </v>
      </c>
      <c r="N8" s="29" t="str">
        <f>IF(ISBLANK(Hoja2!AI5)=TRUE," ",Hoja2!AI5)</f>
        <v xml:space="preserve"> </v>
      </c>
      <c r="O8" s="29" t="str">
        <f>IF(ISBLANK(Hoja2!AJ5)=TRUE," ",Hoja2!AJ5)</f>
        <v xml:space="preserve"> </v>
      </c>
      <c r="P8" s="29" t="str">
        <f>IF(ISBLANK(Hoja2!AK5)=TRUE," ",Hoja2!AK5)</f>
        <v xml:space="preserve"> </v>
      </c>
      <c r="Q8" s="29" t="str">
        <f>IF(ISBLANK(Hoja2!AL5)=TRUE," ",Hoja2!AL5)</f>
        <v xml:space="preserve"> </v>
      </c>
      <c r="R8" s="29" t="str">
        <f>IF(ISBLANK(Hoja2!AM5)=TRUE," ",Hoja2!AM5)</f>
        <v xml:space="preserve"> </v>
      </c>
      <c r="S8" s="29" t="str">
        <f>IF(ISBLANK(Hoja2!AN5)=TRUE," ",Hoja2!AN5)</f>
        <v xml:space="preserve"> </v>
      </c>
      <c r="T8" s="29" t="str">
        <f>IF(ISBLANK(Hoja2!AO5)=TRUE," ",Hoja2!AO5)</f>
        <v xml:space="preserve"> </v>
      </c>
      <c r="U8" s="29" t="str">
        <f>IF(ISBLANK(Hoja2!AP5)=TRUE," ",Hoja2!AP5)</f>
        <v xml:space="preserve"> </v>
      </c>
      <c r="V8" s="29" t="str">
        <f>IF(ISBLANK(Hoja2!AQ5)=TRUE," ",Hoja2!AQ5)</f>
        <v xml:space="preserve"> </v>
      </c>
      <c r="W8" s="29" t="str">
        <f>IF(ISBLANK(Hoja2!AR5)=TRUE," ",Hoja2!AR5)</f>
        <v xml:space="preserve"> </v>
      </c>
      <c r="X8" s="29" t="str">
        <f>IF(ISBLANK(Hoja2!AS5)=TRUE," ",Hoja2!AS5)</f>
        <v xml:space="preserve"> </v>
      </c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</row>
    <row r="9" spans="1:48" s="15" customFormat="1" ht="23.25" customHeight="1" x14ac:dyDescent="0.25">
      <c r="A9" s="29" t="str">
        <f>IF(ISBLANK(Hoja2!V6)=TRUE," ",Hoja2!V6)</f>
        <v xml:space="preserve"> </v>
      </c>
      <c r="B9" s="29" t="str">
        <f>IF(ISBLANK(Hoja2!W6)=TRUE," ",Hoja2!W6)</f>
        <v xml:space="preserve"> </v>
      </c>
      <c r="C9" s="29" t="str">
        <f>IF(ISBLANK(Hoja2!X6)=TRUE," ",Hoja2!X6)</f>
        <v xml:space="preserve"> </v>
      </c>
      <c r="D9" s="29" t="str">
        <f>IF(ISBLANK(Hoja2!Y6)=TRUE," ",Hoja2!Y6)</f>
        <v xml:space="preserve"> </v>
      </c>
      <c r="E9" s="29" t="str">
        <f>IF(ISBLANK(Hoja2!Z6)=TRUE," ",Hoja2!Z6)</f>
        <v xml:space="preserve"> </v>
      </c>
      <c r="F9" s="29" t="str">
        <f>IF(ISBLANK(Hoja2!AA6)=TRUE," ",Hoja2!AA6)</f>
        <v xml:space="preserve"> </v>
      </c>
      <c r="G9" s="29" t="str">
        <f>IF(ISBLANK(Hoja2!AB6)=TRUE," ",Hoja2!AB6)</f>
        <v xml:space="preserve"> </v>
      </c>
      <c r="H9" s="29" t="str">
        <f>IF(ISBLANK(Hoja2!AC6)=TRUE," ",Hoja2!AC6)</f>
        <v xml:space="preserve"> </v>
      </c>
      <c r="I9" s="29" t="str">
        <f>IF(ISBLANK(Hoja2!AD6)=TRUE," ",Hoja2!AD6)</f>
        <v xml:space="preserve"> </v>
      </c>
      <c r="J9" s="29" t="str">
        <f>IF(ISBLANK(Hoja2!AE6)=TRUE," ",Hoja2!AE6)</f>
        <v xml:space="preserve"> </v>
      </c>
      <c r="K9" s="29" t="str">
        <f>IF(ISBLANK(Hoja2!AF6)=TRUE," ",Hoja2!AF6)</f>
        <v xml:space="preserve"> </v>
      </c>
      <c r="L9" s="29" t="str">
        <f>IF(ISBLANK(Hoja2!AG6)=TRUE," ",Hoja2!AG6)</f>
        <v xml:space="preserve"> </v>
      </c>
      <c r="M9" s="29" t="str">
        <f>IF(ISBLANK(Hoja2!AH6)=TRUE," ",Hoja2!AH6)</f>
        <v xml:space="preserve"> </v>
      </c>
      <c r="N9" s="29" t="str">
        <f>IF(ISBLANK(Hoja2!AI6)=TRUE," ",Hoja2!AI6)</f>
        <v xml:space="preserve"> </v>
      </c>
      <c r="O9" s="29" t="str">
        <f>IF(ISBLANK(Hoja2!AJ6)=TRUE," ",Hoja2!AJ6)</f>
        <v xml:space="preserve"> </v>
      </c>
      <c r="P9" s="29" t="str">
        <f>IF(ISBLANK(Hoja2!AK6)=TRUE," ",Hoja2!AK6)</f>
        <v xml:space="preserve"> </v>
      </c>
      <c r="Q9" s="29" t="str">
        <f>IF(ISBLANK(Hoja2!AL6)=TRUE," ",Hoja2!AL6)</f>
        <v xml:space="preserve"> </v>
      </c>
      <c r="R9" s="29" t="str">
        <f>IF(ISBLANK(Hoja2!AM6)=TRUE," ",Hoja2!AM6)</f>
        <v xml:space="preserve"> </v>
      </c>
      <c r="S9" s="29" t="str">
        <f>IF(ISBLANK(Hoja2!AN6)=TRUE," ",Hoja2!AN6)</f>
        <v xml:space="preserve"> </v>
      </c>
      <c r="T9" s="29" t="str">
        <f>IF(ISBLANK(Hoja2!AO6)=TRUE," ",Hoja2!AO6)</f>
        <v xml:space="preserve"> </v>
      </c>
      <c r="U9" s="29" t="str">
        <f>IF(ISBLANK(Hoja2!AP6)=TRUE," ",Hoja2!AP6)</f>
        <v xml:space="preserve"> </v>
      </c>
      <c r="V9" s="29" t="str">
        <f>IF(ISBLANK(Hoja2!AQ6)=TRUE," ",Hoja2!AQ6)</f>
        <v xml:space="preserve"> </v>
      </c>
      <c r="W9" s="29" t="str">
        <f>IF(ISBLANK(Hoja2!AR6)=TRUE," ",Hoja2!AR6)</f>
        <v xml:space="preserve"> </v>
      </c>
      <c r="X9" s="29" t="str">
        <f>IF(ISBLANK(Hoja2!AS6)=TRUE," ",Hoja2!AS6)</f>
        <v xml:space="preserve"> </v>
      </c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</row>
    <row r="10" spans="1:48" s="15" customFormat="1" ht="23.25" customHeight="1" x14ac:dyDescent="0.25">
      <c r="A10" s="29" t="str">
        <f>IF(ISBLANK(Hoja2!V7)=TRUE," ",Hoja2!V7)</f>
        <v xml:space="preserve"> </v>
      </c>
      <c r="B10" s="29" t="str">
        <f>IF(ISBLANK(Hoja2!W7)=TRUE," ",Hoja2!W7)</f>
        <v xml:space="preserve"> </v>
      </c>
      <c r="C10" s="29" t="str">
        <f>IF(ISBLANK(Hoja2!X7)=TRUE," ",Hoja2!X7)</f>
        <v xml:space="preserve"> </v>
      </c>
      <c r="D10" s="29" t="str">
        <f>IF(ISBLANK(Hoja2!Y7)=TRUE," ",Hoja2!Y7)</f>
        <v xml:space="preserve"> </v>
      </c>
      <c r="E10" s="29" t="str">
        <f>IF(ISBLANK(Hoja2!Z7)=TRUE," ",Hoja2!Z7)</f>
        <v xml:space="preserve"> </v>
      </c>
      <c r="F10" s="29" t="str">
        <f>IF(ISBLANK(Hoja2!AA7)=TRUE," ",Hoja2!AA7)</f>
        <v xml:space="preserve"> </v>
      </c>
      <c r="G10" s="29" t="str">
        <f>IF(ISBLANK(Hoja2!AB7)=TRUE," ",Hoja2!AB7)</f>
        <v xml:space="preserve"> </v>
      </c>
      <c r="H10" s="29" t="str">
        <f>IF(ISBLANK(Hoja2!AC7)=TRUE," ",Hoja2!AC7)</f>
        <v xml:space="preserve"> </v>
      </c>
      <c r="I10" s="29" t="str">
        <f>IF(ISBLANK(Hoja2!AD7)=TRUE," ",Hoja2!AD7)</f>
        <v xml:space="preserve"> </v>
      </c>
      <c r="J10" s="29" t="str">
        <f>IF(ISBLANK(Hoja2!AE7)=TRUE," ",Hoja2!AE7)</f>
        <v xml:space="preserve"> </v>
      </c>
      <c r="K10" s="29" t="str">
        <f>IF(ISBLANK(Hoja2!AF7)=TRUE," ",Hoja2!AF7)</f>
        <v xml:space="preserve"> </v>
      </c>
      <c r="L10" s="29" t="str">
        <f>IF(ISBLANK(Hoja2!AG7)=TRUE," ",Hoja2!AG7)</f>
        <v xml:space="preserve"> </v>
      </c>
      <c r="M10" s="29" t="str">
        <f>IF(ISBLANK(Hoja2!AH7)=TRUE," ",Hoja2!AH7)</f>
        <v xml:space="preserve"> </v>
      </c>
      <c r="N10" s="29" t="str">
        <f>IF(ISBLANK(Hoja2!AI7)=TRUE," ",Hoja2!AI7)</f>
        <v xml:space="preserve"> </v>
      </c>
      <c r="O10" s="29" t="str">
        <f>IF(ISBLANK(Hoja2!AJ7)=TRUE," ",Hoja2!AJ7)</f>
        <v xml:space="preserve"> </v>
      </c>
      <c r="P10" s="29" t="str">
        <f>IF(ISBLANK(Hoja2!AK7)=TRUE," ",Hoja2!AK7)</f>
        <v xml:space="preserve"> </v>
      </c>
      <c r="Q10" s="29" t="str">
        <f>IF(ISBLANK(Hoja2!AL7)=TRUE," ",Hoja2!AL7)</f>
        <v xml:space="preserve"> </v>
      </c>
      <c r="R10" s="29" t="str">
        <f>IF(ISBLANK(Hoja2!AM7)=TRUE," ",Hoja2!AM7)</f>
        <v xml:space="preserve"> </v>
      </c>
      <c r="S10" s="29" t="str">
        <f>IF(ISBLANK(Hoja2!AN7)=TRUE," ",Hoja2!AN7)</f>
        <v xml:space="preserve"> </v>
      </c>
      <c r="T10" s="29" t="str">
        <f>IF(ISBLANK(Hoja2!AO7)=TRUE," ",Hoja2!AO7)</f>
        <v xml:space="preserve"> </v>
      </c>
      <c r="U10" s="29" t="str">
        <f>IF(ISBLANK(Hoja2!AP7)=TRUE," ",Hoja2!AP7)</f>
        <v xml:space="preserve"> </v>
      </c>
      <c r="V10" s="29" t="str">
        <f>IF(ISBLANK(Hoja2!AQ7)=TRUE," ",Hoja2!AQ7)</f>
        <v xml:space="preserve"> </v>
      </c>
      <c r="W10" s="29" t="str">
        <f>IF(ISBLANK(Hoja2!AR7)=TRUE," ",Hoja2!AR7)</f>
        <v xml:space="preserve"> </v>
      </c>
      <c r="X10" s="29" t="str">
        <f>IF(ISBLANK(Hoja2!AS7)=TRUE," ",Hoja2!AS7)</f>
        <v xml:space="preserve"> </v>
      </c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</row>
    <row r="11" spans="1:48" s="15" customFormat="1" ht="23.25" customHeight="1" x14ac:dyDescent="0.25">
      <c r="A11" s="29" t="str">
        <f>IF(ISBLANK(Hoja2!V8)=TRUE," ",Hoja2!V8)</f>
        <v xml:space="preserve"> </v>
      </c>
      <c r="B11" s="29" t="str">
        <f>IF(ISBLANK(Hoja2!W8)=TRUE," ",Hoja2!W8)</f>
        <v xml:space="preserve"> </v>
      </c>
      <c r="C11" s="29" t="str">
        <f>IF(ISBLANK(Hoja2!X8)=TRUE," ",Hoja2!X8)</f>
        <v xml:space="preserve"> </v>
      </c>
      <c r="D11" s="29" t="str">
        <f>IF(ISBLANK(Hoja2!Y8)=TRUE," ",Hoja2!Y8)</f>
        <v xml:space="preserve"> </v>
      </c>
      <c r="E11" s="29" t="str">
        <f>IF(ISBLANK(Hoja2!Z8)=TRUE," ",Hoja2!Z8)</f>
        <v xml:space="preserve"> </v>
      </c>
      <c r="F11" s="29" t="str">
        <f>IF(ISBLANK(Hoja2!AA8)=TRUE," ",Hoja2!AA8)</f>
        <v xml:space="preserve"> </v>
      </c>
      <c r="G11" s="29" t="str">
        <f>IF(ISBLANK(Hoja2!AB8)=TRUE," ",Hoja2!AB8)</f>
        <v xml:space="preserve"> </v>
      </c>
      <c r="H11" s="29" t="str">
        <f>IF(ISBLANK(Hoja2!AC8)=TRUE," ",Hoja2!AC8)</f>
        <v xml:space="preserve"> </v>
      </c>
      <c r="I11" s="29" t="str">
        <f>IF(ISBLANK(Hoja2!AD8)=TRUE," ",Hoja2!AD8)</f>
        <v xml:space="preserve"> </v>
      </c>
      <c r="J11" s="29" t="str">
        <f>IF(ISBLANK(Hoja2!AE8)=TRUE," ",Hoja2!AE8)</f>
        <v xml:space="preserve"> </v>
      </c>
      <c r="K11" s="29" t="str">
        <f>IF(ISBLANK(Hoja2!AF8)=TRUE," ",Hoja2!AF8)</f>
        <v xml:space="preserve"> </v>
      </c>
      <c r="L11" s="29" t="str">
        <f>IF(ISBLANK(Hoja2!AG8)=TRUE," ",Hoja2!AG8)</f>
        <v xml:space="preserve"> </v>
      </c>
      <c r="M11" s="29" t="str">
        <f>IF(ISBLANK(Hoja2!AH8)=TRUE," ",Hoja2!AH8)</f>
        <v xml:space="preserve"> </v>
      </c>
      <c r="N11" s="29" t="str">
        <f>IF(ISBLANK(Hoja2!AI8)=TRUE," ",Hoja2!AI8)</f>
        <v xml:space="preserve"> </v>
      </c>
      <c r="O11" s="29" t="str">
        <f>IF(ISBLANK(Hoja2!AJ8)=TRUE," ",Hoja2!AJ8)</f>
        <v xml:space="preserve"> </v>
      </c>
      <c r="P11" s="29" t="str">
        <f>IF(ISBLANK(Hoja2!AK8)=TRUE," ",Hoja2!AK8)</f>
        <v xml:space="preserve"> </v>
      </c>
      <c r="Q11" s="29" t="str">
        <f>IF(ISBLANK(Hoja2!AL8)=TRUE," ",Hoja2!AL8)</f>
        <v xml:space="preserve"> </v>
      </c>
      <c r="R11" s="29" t="str">
        <f>IF(ISBLANK(Hoja2!AM8)=TRUE," ",Hoja2!AM8)</f>
        <v xml:space="preserve"> </v>
      </c>
      <c r="S11" s="29" t="str">
        <f>IF(ISBLANK(Hoja2!AN8)=TRUE," ",Hoja2!AN8)</f>
        <v xml:space="preserve"> </v>
      </c>
      <c r="T11" s="29" t="str">
        <f>IF(ISBLANK(Hoja2!AO8)=TRUE," ",Hoja2!AO8)</f>
        <v xml:space="preserve"> </v>
      </c>
      <c r="U11" s="29" t="str">
        <f>IF(ISBLANK(Hoja2!AP8)=TRUE," ",Hoja2!AP8)</f>
        <v xml:space="preserve"> </v>
      </c>
      <c r="V11" s="29" t="str">
        <f>IF(ISBLANK(Hoja2!AQ8)=TRUE," ",Hoja2!AQ8)</f>
        <v xml:space="preserve"> </v>
      </c>
      <c r="W11" s="29" t="str">
        <f>IF(ISBLANK(Hoja2!AR8)=TRUE," ",Hoja2!AR8)</f>
        <v xml:space="preserve"> </v>
      </c>
      <c r="X11" s="29" t="str">
        <f>IF(ISBLANK(Hoja2!AS8)=TRUE," ",Hoja2!AS8)</f>
        <v xml:space="preserve"> </v>
      </c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</row>
    <row r="12" spans="1:48" s="15" customFormat="1" ht="23.25" customHeight="1" x14ac:dyDescent="0.25">
      <c r="A12" s="29" t="str">
        <f>IF(ISBLANK(Hoja2!V9)=TRUE," ",Hoja2!V9)</f>
        <v xml:space="preserve"> </v>
      </c>
      <c r="B12" s="29" t="str">
        <f>IF(ISBLANK(Hoja2!W9)=TRUE," ",Hoja2!W9)</f>
        <v xml:space="preserve"> </v>
      </c>
      <c r="C12" s="29" t="str">
        <f>IF(ISBLANK(Hoja2!X9)=TRUE," ",Hoja2!X9)</f>
        <v xml:space="preserve"> </v>
      </c>
      <c r="D12" s="29" t="str">
        <f>IF(ISBLANK(Hoja2!Y9)=TRUE," ",Hoja2!Y9)</f>
        <v xml:space="preserve"> </v>
      </c>
      <c r="E12" s="29" t="str">
        <f>IF(ISBLANK(Hoja2!Z9)=TRUE," ",Hoja2!Z9)</f>
        <v xml:space="preserve"> </v>
      </c>
      <c r="F12" s="29" t="str">
        <f>IF(ISBLANK(Hoja2!AA9)=TRUE," ",Hoja2!AA9)</f>
        <v xml:space="preserve"> </v>
      </c>
      <c r="G12" s="29" t="str">
        <f>IF(ISBLANK(Hoja2!AB9)=TRUE," ",Hoja2!AB9)</f>
        <v xml:space="preserve"> </v>
      </c>
      <c r="H12" s="29" t="str">
        <f>IF(ISBLANK(Hoja2!AC9)=TRUE," ",Hoja2!AC9)</f>
        <v xml:space="preserve"> </v>
      </c>
      <c r="I12" s="29" t="str">
        <f>IF(ISBLANK(Hoja2!AD9)=TRUE," ",Hoja2!AD9)</f>
        <v xml:space="preserve"> </v>
      </c>
      <c r="J12" s="29" t="str">
        <f>IF(ISBLANK(Hoja2!AE9)=TRUE," ",Hoja2!AE9)</f>
        <v xml:space="preserve"> </v>
      </c>
      <c r="K12" s="29" t="str">
        <f>IF(ISBLANK(Hoja2!AF9)=TRUE," ",Hoja2!AF9)</f>
        <v xml:space="preserve"> </v>
      </c>
      <c r="L12" s="29" t="str">
        <f>IF(ISBLANK(Hoja2!AG9)=TRUE," ",Hoja2!AG9)</f>
        <v xml:space="preserve"> </v>
      </c>
      <c r="M12" s="29" t="str">
        <f>IF(ISBLANK(Hoja2!AH9)=TRUE," ",Hoja2!AH9)</f>
        <v xml:space="preserve"> </v>
      </c>
      <c r="N12" s="29" t="str">
        <f>IF(ISBLANK(Hoja2!AI9)=TRUE," ",Hoja2!AI9)</f>
        <v xml:space="preserve"> </v>
      </c>
      <c r="O12" s="29" t="str">
        <f>IF(ISBLANK(Hoja2!AJ9)=TRUE," ",Hoja2!AJ9)</f>
        <v xml:space="preserve"> </v>
      </c>
      <c r="P12" s="29" t="str">
        <f>IF(ISBLANK(Hoja2!AK9)=TRUE," ",Hoja2!AK9)</f>
        <v xml:space="preserve"> </v>
      </c>
      <c r="Q12" s="29" t="str">
        <f>IF(ISBLANK(Hoja2!AL9)=TRUE," ",Hoja2!AL9)</f>
        <v xml:space="preserve"> </v>
      </c>
      <c r="R12" s="29" t="str">
        <f>IF(ISBLANK(Hoja2!AM9)=TRUE," ",Hoja2!AM9)</f>
        <v xml:space="preserve"> </v>
      </c>
      <c r="S12" s="29" t="str">
        <f>IF(ISBLANK(Hoja2!AN9)=TRUE," ",Hoja2!AN9)</f>
        <v xml:space="preserve"> </v>
      </c>
      <c r="T12" s="29" t="str">
        <f>IF(ISBLANK(Hoja2!AO9)=TRUE," ",Hoja2!AO9)</f>
        <v xml:space="preserve"> </v>
      </c>
      <c r="U12" s="29" t="str">
        <f>IF(ISBLANK(Hoja2!AP9)=TRUE," ",Hoja2!AP9)</f>
        <v xml:space="preserve"> </v>
      </c>
      <c r="V12" s="29" t="str">
        <f>IF(ISBLANK(Hoja2!AQ9)=TRUE," ",Hoja2!AQ9)</f>
        <v xml:space="preserve"> </v>
      </c>
      <c r="W12" s="29" t="str">
        <f>IF(ISBLANK(Hoja2!AR9)=TRUE," ",Hoja2!AR9)</f>
        <v xml:space="preserve"> </v>
      </c>
      <c r="X12" s="29" t="str">
        <f>IF(ISBLANK(Hoja2!AS9)=TRUE," ",Hoja2!AS9)</f>
        <v xml:space="preserve"> </v>
      </c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</row>
    <row r="13" spans="1:48" s="15" customFormat="1" ht="23.25" customHeight="1" x14ac:dyDescent="0.25">
      <c r="A13" s="29" t="str">
        <f>IF(ISBLANK(Hoja2!V10)=TRUE," ",Hoja2!V10)</f>
        <v xml:space="preserve"> </v>
      </c>
      <c r="B13" s="29" t="str">
        <f>IF(ISBLANK(Hoja2!W10)=TRUE," ",Hoja2!W10)</f>
        <v xml:space="preserve"> </v>
      </c>
      <c r="C13" s="29" t="str">
        <f>IF(ISBLANK(Hoja2!X10)=TRUE," ",Hoja2!X10)</f>
        <v xml:space="preserve"> </v>
      </c>
      <c r="D13" s="29" t="str">
        <f>IF(ISBLANK(Hoja2!Y10)=TRUE," ",Hoja2!Y10)</f>
        <v xml:space="preserve"> </v>
      </c>
      <c r="E13" s="29" t="str">
        <f>IF(ISBLANK(Hoja2!Z10)=TRUE," ",Hoja2!Z10)</f>
        <v xml:space="preserve"> </v>
      </c>
      <c r="F13" s="29" t="str">
        <f>IF(ISBLANK(Hoja2!AA10)=TRUE," ",Hoja2!AA10)</f>
        <v xml:space="preserve"> </v>
      </c>
      <c r="G13" s="29" t="str">
        <f>IF(ISBLANK(Hoja2!AB10)=TRUE," ",Hoja2!AB10)</f>
        <v xml:space="preserve"> </v>
      </c>
      <c r="H13" s="29" t="str">
        <f>IF(ISBLANK(Hoja2!AC10)=TRUE," ",Hoja2!AC10)</f>
        <v xml:space="preserve"> </v>
      </c>
      <c r="I13" s="29" t="str">
        <f>IF(ISBLANK(Hoja2!AD10)=TRUE," ",Hoja2!AD10)</f>
        <v xml:space="preserve"> </v>
      </c>
      <c r="J13" s="29" t="str">
        <f>IF(ISBLANK(Hoja2!AE10)=TRUE," ",Hoja2!AE10)</f>
        <v xml:space="preserve"> </v>
      </c>
      <c r="K13" s="29" t="str">
        <f>IF(ISBLANK(Hoja2!AF10)=TRUE," ",Hoja2!AF10)</f>
        <v xml:space="preserve"> </v>
      </c>
      <c r="L13" s="29" t="str">
        <f>IF(ISBLANK(Hoja2!AG10)=TRUE," ",Hoja2!AG10)</f>
        <v xml:space="preserve"> </v>
      </c>
      <c r="M13" s="29" t="str">
        <f>IF(ISBLANK(Hoja2!AH10)=TRUE," ",Hoja2!AH10)</f>
        <v xml:space="preserve"> </v>
      </c>
      <c r="N13" s="29" t="str">
        <f>IF(ISBLANK(Hoja2!AI10)=TRUE," ",Hoja2!AI10)</f>
        <v xml:space="preserve"> </v>
      </c>
      <c r="O13" s="29" t="str">
        <f>IF(ISBLANK(Hoja2!AJ10)=TRUE," ",Hoja2!AJ10)</f>
        <v xml:space="preserve"> </v>
      </c>
      <c r="P13" s="29" t="str">
        <f>IF(ISBLANK(Hoja2!AK10)=TRUE," ",Hoja2!AK10)</f>
        <v xml:space="preserve"> </v>
      </c>
      <c r="Q13" s="29" t="str">
        <f>IF(ISBLANK(Hoja2!AL10)=TRUE," ",Hoja2!AL10)</f>
        <v xml:space="preserve"> </v>
      </c>
      <c r="R13" s="29" t="str">
        <f>IF(ISBLANK(Hoja2!AM10)=TRUE," ",Hoja2!AM10)</f>
        <v xml:space="preserve"> </v>
      </c>
      <c r="S13" s="29" t="str">
        <f>IF(ISBLANK(Hoja2!AN10)=TRUE," ",Hoja2!AN10)</f>
        <v xml:space="preserve"> </v>
      </c>
      <c r="T13" s="29" t="str">
        <f>IF(ISBLANK(Hoja2!AO10)=TRUE," ",Hoja2!AO10)</f>
        <v xml:space="preserve"> </v>
      </c>
      <c r="U13" s="29" t="str">
        <f>IF(ISBLANK(Hoja2!AP10)=TRUE," ",Hoja2!AP10)</f>
        <v xml:space="preserve"> </v>
      </c>
      <c r="V13" s="29" t="str">
        <f>IF(ISBLANK(Hoja2!AQ10)=TRUE," ",Hoja2!AQ10)</f>
        <v xml:space="preserve"> </v>
      </c>
      <c r="W13" s="29" t="str">
        <f>IF(ISBLANK(Hoja2!AR10)=TRUE," ",Hoja2!AR10)</f>
        <v xml:space="preserve"> </v>
      </c>
      <c r="X13" s="29" t="str">
        <f>IF(ISBLANK(Hoja2!AS10)=TRUE," ",Hoja2!AS10)</f>
        <v xml:space="preserve"> </v>
      </c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</row>
    <row r="14" spans="1:48" s="15" customFormat="1" ht="23.25" customHeight="1" x14ac:dyDescent="0.25">
      <c r="A14" s="29" t="str">
        <f>IF(ISBLANK(Hoja2!V11)=TRUE," ",Hoja2!V11)</f>
        <v xml:space="preserve"> </v>
      </c>
      <c r="B14" s="29" t="str">
        <f>IF(ISBLANK(Hoja2!W11)=TRUE," ",Hoja2!W11)</f>
        <v xml:space="preserve"> </v>
      </c>
      <c r="C14" s="29" t="str">
        <f>IF(ISBLANK(Hoja2!X11)=TRUE," ",Hoja2!X11)</f>
        <v xml:space="preserve"> </v>
      </c>
      <c r="D14" s="29" t="str">
        <f>IF(ISBLANK(Hoja2!Y11)=TRUE," ",Hoja2!Y11)</f>
        <v xml:space="preserve"> </v>
      </c>
      <c r="E14" s="29" t="str">
        <f>IF(ISBLANK(Hoja2!Z11)=TRUE," ",Hoja2!Z11)</f>
        <v xml:space="preserve"> </v>
      </c>
      <c r="F14" s="29" t="str">
        <f>IF(ISBLANK(Hoja2!AA11)=TRUE," ",Hoja2!AA11)</f>
        <v xml:space="preserve"> </v>
      </c>
      <c r="G14" s="29" t="str">
        <f>IF(ISBLANK(Hoja2!AB11)=TRUE," ",Hoja2!AB11)</f>
        <v xml:space="preserve"> </v>
      </c>
      <c r="H14" s="29" t="str">
        <f>IF(ISBLANK(Hoja2!AC11)=TRUE," ",Hoja2!AC11)</f>
        <v xml:space="preserve"> </v>
      </c>
      <c r="I14" s="29" t="str">
        <f>IF(ISBLANK(Hoja2!AD11)=TRUE," ",Hoja2!AD11)</f>
        <v xml:space="preserve"> </v>
      </c>
      <c r="J14" s="29" t="str">
        <f>IF(ISBLANK(Hoja2!AE11)=TRUE," ",Hoja2!AE11)</f>
        <v xml:space="preserve"> </v>
      </c>
      <c r="K14" s="29" t="str">
        <f>IF(ISBLANK(Hoja2!AF11)=TRUE," ",Hoja2!AF11)</f>
        <v xml:space="preserve"> </v>
      </c>
      <c r="L14" s="29" t="str">
        <f>IF(ISBLANK(Hoja2!AG11)=TRUE," ",Hoja2!AG11)</f>
        <v xml:space="preserve"> </v>
      </c>
      <c r="M14" s="29" t="str">
        <f>IF(ISBLANK(Hoja2!AH11)=TRUE," ",Hoja2!AH11)</f>
        <v xml:space="preserve"> </v>
      </c>
      <c r="N14" s="29" t="str">
        <f>IF(ISBLANK(Hoja2!AI11)=TRUE," ",Hoja2!AI11)</f>
        <v xml:space="preserve"> </v>
      </c>
      <c r="O14" s="29" t="str">
        <f>IF(ISBLANK(Hoja2!AJ11)=TRUE," ",Hoja2!AJ11)</f>
        <v xml:space="preserve"> </v>
      </c>
      <c r="P14" s="29" t="str">
        <f>IF(ISBLANK(Hoja2!AK11)=TRUE," ",Hoja2!AK11)</f>
        <v xml:space="preserve"> </v>
      </c>
      <c r="Q14" s="29" t="str">
        <f>IF(ISBLANK(Hoja2!AL11)=TRUE," ",Hoja2!AL11)</f>
        <v xml:space="preserve"> </v>
      </c>
      <c r="R14" s="29" t="str">
        <f>IF(ISBLANK(Hoja2!AM11)=TRUE," ",Hoja2!AM11)</f>
        <v xml:space="preserve"> </v>
      </c>
      <c r="S14" s="29" t="str">
        <f>IF(ISBLANK(Hoja2!AN11)=TRUE," ",Hoja2!AN11)</f>
        <v xml:space="preserve"> </v>
      </c>
      <c r="T14" s="29" t="str">
        <f>IF(ISBLANK(Hoja2!AO11)=TRUE," ",Hoja2!AO11)</f>
        <v xml:space="preserve"> </v>
      </c>
      <c r="U14" s="29" t="str">
        <f>IF(ISBLANK(Hoja2!AP11)=TRUE," ",Hoja2!AP11)</f>
        <v xml:space="preserve"> </v>
      </c>
      <c r="V14" s="29" t="str">
        <f>IF(ISBLANK(Hoja2!AQ11)=TRUE," ",Hoja2!AQ11)</f>
        <v xml:space="preserve"> </v>
      </c>
      <c r="W14" s="29" t="str">
        <f>IF(ISBLANK(Hoja2!AR11)=TRUE," ",Hoja2!AR11)</f>
        <v xml:space="preserve"> </v>
      </c>
      <c r="X14" s="29" t="str">
        <f>IF(ISBLANK(Hoja2!AS11)=TRUE," ",Hoja2!AS11)</f>
        <v xml:space="preserve"> </v>
      </c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</row>
    <row r="15" spans="1:48" s="15" customFormat="1" ht="23.25" customHeight="1" x14ac:dyDescent="0.25">
      <c r="A15" s="29" t="str">
        <f>IF(ISBLANK(Hoja2!V12)=TRUE," ",Hoja2!V12)</f>
        <v xml:space="preserve"> </v>
      </c>
      <c r="B15" s="29" t="str">
        <f>IF(ISBLANK(Hoja2!W12)=TRUE," ",Hoja2!W12)</f>
        <v xml:space="preserve"> </v>
      </c>
      <c r="C15" s="29" t="str">
        <f>IF(ISBLANK(Hoja2!X12)=TRUE," ",Hoja2!X12)</f>
        <v xml:space="preserve"> </v>
      </c>
      <c r="D15" s="29" t="str">
        <f>IF(ISBLANK(Hoja2!Y12)=TRUE," ",Hoja2!Y12)</f>
        <v xml:space="preserve"> </v>
      </c>
      <c r="E15" s="29" t="str">
        <f>IF(ISBLANK(Hoja2!Z12)=TRUE," ",Hoja2!Z12)</f>
        <v xml:space="preserve"> </v>
      </c>
      <c r="F15" s="29" t="str">
        <f>IF(ISBLANK(Hoja2!AA12)=TRUE," ",Hoja2!AA12)</f>
        <v xml:space="preserve"> </v>
      </c>
      <c r="G15" s="29" t="str">
        <f>IF(ISBLANK(Hoja2!AB12)=TRUE," ",Hoja2!AB12)</f>
        <v xml:space="preserve"> </v>
      </c>
      <c r="H15" s="29" t="str">
        <f>IF(ISBLANK(Hoja2!AC12)=TRUE," ",Hoja2!AC12)</f>
        <v xml:space="preserve"> </v>
      </c>
      <c r="I15" s="29" t="str">
        <f>IF(ISBLANK(Hoja2!AD12)=TRUE," ",Hoja2!AD12)</f>
        <v xml:space="preserve"> </v>
      </c>
      <c r="J15" s="29" t="str">
        <f>IF(ISBLANK(Hoja2!AE12)=TRUE," ",Hoja2!AE12)</f>
        <v xml:space="preserve"> </v>
      </c>
      <c r="K15" s="29" t="str">
        <f>IF(ISBLANK(Hoja2!AF12)=TRUE," ",Hoja2!AF12)</f>
        <v xml:space="preserve"> </v>
      </c>
      <c r="L15" s="29" t="str">
        <f>IF(ISBLANK(Hoja2!AG12)=TRUE," ",Hoja2!AG12)</f>
        <v xml:space="preserve"> </v>
      </c>
      <c r="M15" s="29" t="str">
        <f>IF(ISBLANK(Hoja2!AH12)=TRUE," ",Hoja2!AH12)</f>
        <v xml:space="preserve"> </v>
      </c>
      <c r="N15" s="29" t="str">
        <f>IF(ISBLANK(Hoja2!AI12)=TRUE," ",Hoja2!AI12)</f>
        <v xml:space="preserve"> </v>
      </c>
      <c r="O15" s="29" t="str">
        <f>IF(ISBLANK(Hoja2!AJ12)=TRUE," ",Hoja2!AJ12)</f>
        <v xml:space="preserve"> </v>
      </c>
      <c r="P15" s="29" t="str">
        <f>IF(ISBLANK(Hoja2!AK12)=TRUE," ",Hoja2!AK12)</f>
        <v xml:space="preserve"> </v>
      </c>
      <c r="Q15" s="29" t="str">
        <f>IF(ISBLANK(Hoja2!AL12)=TRUE," ",Hoja2!AL12)</f>
        <v xml:space="preserve"> </v>
      </c>
      <c r="R15" s="29" t="str">
        <f>IF(ISBLANK(Hoja2!AM12)=TRUE," ",Hoja2!AM12)</f>
        <v xml:space="preserve"> </v>
      </c>
      <c r="S15" s="29" t="str">
        <f>IF(ISBLANK(Hoja2!AN12)=TRUE," ",Hoja2!AN12)</f>
        <v xml:space="preserve"> </v>
      </c>
      <c r="T15" s="29" t="str">
        <f>IF(ISBLANK(Hoja2!AO12)=TRUE," ",Hoja2!AO12)</f>
        <v xml:space="preserve"> </v>
      </c>
      <c r="U15" s="29" t="str">
        <f>IF(ISBLANK(Hoja2!AP12)=TRUE," ",Hoja2!AP12)</f>
        <v xml:space="preserve"> </v>
      </c>
      <c r="V15" s="29" t="str">
        <f>IF(ISBLANK(Hoja2!AQ12)=TRUE," ",Hoja2!AQ12)</f>
        <v xml:space="preserve"> </v>
      </c>
      <c r="W15" s="29" t="str">
        <f>IF(ISBLANK(Hoja2!AR12)=TRUE," ",Hoja2!AR12)</f>
        <v xml:space="preserve"> </v>
      </c>
      <c r="X15" s="29" t="str">
        <f>IF(ISBLANK(Hoja2!AS12)=TRUE," ",Hoja2!AS12)</f>
        <v xml:space="preserve"> </v>
      </c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</row>
    <row r="16" spans="1:48" s="15" customFormat="1" ht="23.25" customHeight="1" x14ac:dyDescent="0.25">
      <c r="A16" s="29" t="str">
        <f>IF(ISBLANK(Hoja2!V13)=TRUE," ",Hoja2!V13)</f>
        <v xml:space="preserve"> </v>
      </c>
      <c r="B16" s="29" t="str">
        <f>IF(ISBLANK(Hoja2!W13)=TRUE," ",Hoja2!W13)</f>
        <v xml:space="preserve"> </v>
      </c>
      <c r="C16" s="29" t="str">
        <f>IF(ISBLANK(Hoja2!X13)=TRUE," ",Hoja2!X13)</f>
        <v xml:space="preserve"> </v>
      </c>
      <c r="D16" s="29" t="str">
        <f>IF(ISBLANK(Hoja2!Y13)=TRUE," ",Hoja2!Y13)</f>
        <v xml:space="preserve"> </v>
      </c>
      <c r="E16" s="29" t="str">
        <f>IF(ISBLANK(Hoja2!Z13)=TRUE," ",Hoja2!Z13)</f>
        <v xml:space="preserve"> </v>
      </c>
      <c r="F16" s="29" t="str">
        <f>IF(ISBLANK(Hoja2!AA13)=TRUE," ",Hoja2!AA13)</f>
        <v xml:space="preserve"> </v>
      </c>
      <c r="G16" s="29" t="str">
        <f>IF(ISBLANK(Hoja2!AB13)=TRUE," ",Hoja2!AB13)</f>
        <v xml:space="preserve"> </v>
      </c>
      <c r="H16" s="29" t="str">
        <f>IF(ISBLANK(Hoja2!AC13)=TRUE," ",Hoja2!AC13)</f>
        <v xml:space="preserve"> </v>
      </c>
      <c r="I16" s="29" t="str">
        <f>IF(ISBLANK(Hoja2!AD13)=TRUE," ",Hoja2!AD13)</f>
        <v xml:space="preserve"> </v>
      </c>
      <c r="J16" s="29" t="str">
        <f>IF(ISBLANK(Hoja2!AE13)=TRUE," ",Hoja2!AE13)</f>
        <v xml:space="preserve"> </v>
      </c>
      <c r="K16" s="29" t="str">
        <f>IF(ISBLANK(Hoja2!AF13)=TRUE," ",Hoja2!AF13)</f>
        <v xml:space="preserve"> </v>
      </c>
      <c r="L16" s="29" t="str">
        <f>IF(ISBLANK(Hoja2!AG13)=TRUE," ",Hoja2!AG13)</f>
        <v xml:space="preserve"> </v>
      </c>
      <c r="M16" s="29" t="str">
        <f>IF(ISBLANK(Hoja2!AH13)=TRUE," ",Hoja2!AH13)</f>
        <v xml:space="preserve"> </v>
      </c>
      <c r="N16" s="29" t="str">
        <f>IF(ISBLANK(Hoja2!AI13)=TRUE," ",Hoja2!AI13)</f>
        <v xml:space="preserve"> </v>
      </c>
      <c r="O16" s="29" t="str">
        <f>IF(ISBLANK(Hoja2!AJ13)=TRUE," ",Hoja2!AJ13)</f>
        <v xml:space="preserve"> </v>
      </c>
      <c r="P16" s="29" t="str">
        <f>IF(ISBLANK(Hoja2!AK13)=TRUE," ",Hoja2!AK13)</f>
        <v xml:space="preserve"> </v>
      </c>
      <c r="Q16" s="29" t="str">
        <f>IF(ISBLANK(Hoja2!AL13)=TRUE," ",Hoja2!AL13)</f>
        <v xml:space="preserve"> </v>
      </c>
      <c r="R16" s="29" t="str">
        <f>IF(ISBLANK(Hoja2!AM13)=TRUE," ",Hoja2!AM13)</f>
        <v xml:space="preserve"> </v>
      </c>
      <c r="S16" s="29" t="str">
        <f>IF(ISBLANK(Hoja2!AN13)=TRUE," ",Hoja2!AN13)</f>
        <v xml:space="preserve"> </v>
      </c>
      <c r="T16" s="29" t="str">
        <f>IF(ISBLANK(Hoja2!AO13)=TRUE," ",Hoja2!AO13)</f>
        <v xml:space="preserve"> </v>
      </c>
      <c r="U16" s="29" t="str">
        <f>IF(ISBLANK(Hoja2!AP13)=TRUE," ",Hoja2!AP13)</f>
        <v xml:space="preserve"> </v>
      </c>
      <c r="V16" s="29" t="str">
        <f>IF(ISBLANK(Hoja2!AQ13)=TRUE," ",Hoja2!AQ13)</f>
        <v xml:space="preserve"> </v>
      </c>
      <c r="W16" s="29" t="str">
        <f>IF(ISBLANK(Hoja2!AR13)=TRUE," ",Hoja2!AR13)</f>
        <v xml:space="preserve"> </v>
      </c>
      <c r="X16" s="29" t="str">
        <f>IF(ISBLANK(Hoja2!AS13)=TRUE," ",Hoja2!AS13)</f>
        <v xml:space="preserve"> </v>
      </c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</row>
    <row r="17" spans="1:53" s="15" customFormat="1" ht="23.25" customHeight="1" x14ac:dyDescent="0.25">
      <c r="A17" s="29" t="str">
        <f>IF(ISBLANK(Hoja2!V14)=TRUE," ",Hoja2!V14)</f>
        <v xml:space="preserve"> </v>
      </c>
      <c r="B17" s="29" t="str">
        <f>IF(ISBLANK(Hoja2!W14)=TRUE," ",Hoja2!W14)</f>
        <v xml:space="preserve"> </v>
      </c>
      <c r="C17" s="29" t="str">
        <f>IF(ISBLANK(Hoja2!X14)=TRUE," ",Hoja2!X14)</f>
        <v xml:space="preserve"> </v>
      </c>
      <c r="D17" s="29" t="str">
        <f>IF(ISBLANK(Hoja2!Y14)=TRUE," ",Hoja2!Y14)</f>
        <v xml:space="preserve"> </v>
      </c>
      <c r="E17" s="29" t="str">
        <f>IF(ISBLANK(Hoja2!Z14)=TRUE," ",Hoja2!Z14)</f>
        <v xml:space="preserve"> </v>
      </c>
      <c r="F17" s="29" t="str">
        <f>IF(ISBLANK(Hoja2!AA14)=TRUE," ",Hoja2!AA14)</f>
        <v xml:space="preserve"> </v>
      </c>
      <c r="G17" s="29" t="str">
        <f>IF(ISBLANK(Hoja2!AB14)=TRUE," ",Hoja2!AB14)</f>
        <v xml:space="preserve"> </v>
      </c>
      <c r="H17" s="29" t="str">
        <f>IF(ISBLANK(Hoja2!AC14)=TRUE," ",Hoja2!AC14)</f>
        <v xml:space="preserve"> </v>
      </c>
      <c r="I17" s="29" t="str">
        <f>IF(ISBLANK(Hoja2!AD14)=TRUE," ",Hoja2!AD14)</f>
        <v xml:space="preserve"> </v>
      </c>
      <c r="J17" s="29" t="str">
        <f>IF(ISBLANK(Hoja2!AE14)=TRUE," ",Hoja2!AE14)</f>
        <v xml:space="preserve"> </v>
      </c>
      <c r="K17" s="29" t="str">
        <f>IF(ISBLANK(Hoja2!AF14)=TRUE," ",Hoja2!AF14)</f>
        <v xml:space="preserve"> </v>
      </c>
      <c r="L17" s="29" t="str">
        <f>IF(ISBLANK(Hoja2!AG14)=TRUE," ",Hoja2!AG14)</f>
        <v xml:space="preserve"> </v>
      </c>
      <c r="M17" s="29" t="str">
        <f>IF(ISBLANK(Hoja2!AH14)=TRUE," ",Hoja2!AH14)</f>
        <v xml:space="preserve"> </v>
      </c>
      <c r="N17" s="29" t="str">
        <f>IF(ISBLANK(Hoja2!AI14)=TRUE," ",Hoja2!AI14)</f>
        <v xml:space="preserve"> </v>
      </c>
      <c r="O17" s="29" t="str">
        <f>IF(ISBLANK(Hoja2!AJ14)=TRUE," ",Hoja2!AJ14)</f>
        <v xml:space="preserve"> </v>
      </c>
      <c r="P17" s="29" t="str">
        <f>IF(ISBLANK(Hoja2!AK14)=TRUE," ",Hoja2!AK14)</f>
        <v xml:space="preserve"> </v>
      </c>
      <c r="Q17" s="29" t="str">
        <f>IF(ISBLANK(Hoja2!AL14)=TRUE," ",Hoja2!AL14)</f>
        <v xml:space="preserve"> </v>
      </c>
      <c r="R17" s="29" t="str">
        <f>IF(ISBLANK(Hoja2!AM14)=TRUE," ",Hoja2!AM14)</f>
        <v xml:space="preserve"> </v>
      </c>
      <c r="S17" s="29" t="str">
        <f>IF(ISBLANK(Hoja2!AN14)=TRUE," ",Hoja2!AN14)</f>
        <v xml:space="preserve"> </v>
      </c>
      <c r="T17" s="29" t="str">
        <f>IF(ISBLANK(Hoja2!AO14)=TRUE," ",Hoja2!AO14)</f>
        <v xml:space="preserve"> </v>
      </c>
      <c r="U17" s="29" t="str">
        <f>IF(ISBLANK(Hoja2!AP14)=TRUE," ",Hoja2!AP14)</f>
        <v xml:space="preserve"> </v>
      </c>
      <c r="V17" s="29" t="str">
        <f>IF(ISBLANK(Hoja2!AQ14)=TRUE," ",Hoja2!AQ14)</f>
        <v xml:space="preserve"> </v>
      </c>
      <c r="W17" s="29" t="str">
        <f>IF(ISBLANK(Hoja2!AR14)=TRUE," ",Hoja2!AR14)</f>
        <v xml:space="preserve"> </v>
      </c>
      <c r="X17" s="29" t="str">
        <f>IF(ISBLANK(Hoja2!AS14)=TRUE," ",Hoja2!AS14)</f>
        <v xml:space="preserve"> </v>
      </c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</row>
    <row r="18" spans="1:53" s="15" customFormat="1" ht="23.25" customHeight="1" x14ac:dyDescent="0.25">
      <c r="A18" s="29" t="str">
        <f>IF(ISBLANK(Hoja2!V15)=TRUE," ",Hoja2!V15)</f>
        <v xml:space="preserve"> </v>
      </c>
      <c r="B18" s="29" t="str">
        <f>IF(ISBLANK(Hoja2!W15)=TRUE," ",Hoja2!W15)</f>
        <v xml:space="preserve"> </v>
      </c>
      <c r="C18" s="29" t="str">
        <f>IF(ISBLANK(Hoja2!X15)=TRUE," ",Hoja2!X15)</f>
        <v xml:space="preserve"> </v>
      </c>
      <c r="D18" s="29" t="str">
        <f>IF(ISBLANK(Hoja2!Y15)=TRUE," ",Hoja2!Y15)</f>
        <v xml:space="preserve"> </v>
      </c>
      <c r="E18" s="29" t="str">
        <f>IF(ISBLANK(Hoja2!Z15)=TRUE," ",Hoja2!Z15)</f>
        <v xml:space="preserve"> </v>
      </c>
      <c r="F18" s="29" t="str">
        <f>IF(ISBLANK(Hoja2!AA15)=TRUE," ",Hoja2!AA15)</f>
        <v xml:space="preserve"> </v>
      </c>
      <c r="G18" s="29" t="str">
        <f>IF(ISBLANK(Hoja2!AB15)=TRUE," ",Hoja2!AB15)</f>
        <v xml:space="preserve"> </v>
      </c>
      <c r="H18" s="29" t="str">
        <f>IF(ISBLANK(Hoja2!AC15)=TRUE," ",Hoja2!AC15)</f>
        <v xml:space="preserve"> </v>
      </c>
      <c r="I18" s="29" t="str">
        <f>IF(ISBLANK(Hoja2!AD15)=TRUE," ",Hoja2!AD15)</f>
        <v xml:space="preserve"> </v>
      </c>
      <c r="J18" s="29" t="str">
        <f>IF(ISBLANK(Hoja2!AE15)=TRUE," ",Hoja2!AE15)</f>
        <v xml:space="preserve"> </v>
      </c>
      <c r="K18" s="29" t="str">
        <f>IF(ISBLANK(Hoja2!AF15)=TRUE," ",Hoja2!AF15)</f>
        <v xml:space="preserve"> </v>
      </c>
      <c r="L18" s="29" t="str">
        <f>IF(ISBLANK(Hoja2!AG15)=TRUE," ",Hoja2!AG15)</f>
        <v xml:space="preserve"> </v>
      </c>
      <c r="M18" s="29" t="str">
        <f>IF(ISBLANK(Hoja2!AH15)=TRUE," ",Hoja2!AH15)</f>
        <v xml:space="preserve"> </v>
      </c>
      <c r="N18" s="29" t="str">
        <f>IF(ISBLANK(Hoja2!AI15)=TRUE," ",Hoja2!AI15)</f>
        <v xml:space="preserve"> </v>
      </c>
      <c r="O18" s="29" t="str">
        <f>IF(ISBLANK(Hoja2!AJ15)=TRUE," ",Hoja2!AJ15)</f>
        <v xml:space="preserve"> </v>
      </c>
      <c r="P18" s="29" t="str">
        <f>IF(ISBLANK(Hoja2!AK15)=TRUE," ",Hoja2!AK15)</f>
        <v xml:space="preserve"> </v>
      </c>
      <c r="Q18" s="29" t="str">
        <f>IF(ISBLANK(Hoja2!AL15)=TRUE," ",Hoja2!AL15)</f>
        <v xml:space="preserve"> </v>
      </c>
      <c r="R18" s="29" t="str">
        <f>IF(ISBLANK(Hoja2!AM15)=TRUE," ",Hoja2!AM15)</f>
        <v xml:space="preserve"> </v>
      </c>
      <c r="S18" s="29" t="str">
        <f>IF(ISBLANK(Hoja2!AN15)=TRUE," ",Hoja2!AN15)</f>
        <v xml:space="preserve"> </v>
      </c>
      <c r="T18" s="29" t="str">
        <f>IF(ISBLANK(Hoja2!AO15)=TRUE," ",Hoja2!AO15)</f>
        <v xml:space="preserve"> </v>
      </c>
      <c r="U18" s="29" t="str">
        <f>IF(ISBLANK(Hoja2!AP15)=TRUE," ",Hoja2!AP15)</f>
        <v xml:space="preserve"> </v>
      </c>
      <c r="V18" s="29" t="str">
        <f>IF(ISBLANK(Hoja2!AQ15)=TRUE," ",Hoja2!AQ15)</f>
        <v xml:space="preserve"> </v>
      </c>
      <c r="W18" s="29" t="str">
        <f>IF(ISBLANK(Hoja2!AR15)=TRUE," ",Hoja2!AR15)</f>
        <v xml:space="preserve"> </v>
      </c>
      <c r="X18" s="29" t="str">
        <f>IF(ISBLANK(Hoja2!AS15)=TRUE," ",Hoja2!AS15)</f>
        <v xml:space="preserve"> </v>
      </c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</row>
    <row r="19" spans="1:53" s="15" customFormat="1" ht="23.25" customHeight="1" x14ac:dyDescent="0.25">
      <c r="A19" s="29" t="str">
        <f>IF(ISBLANK(Hoja2!V16)=TRUE," ",Hoja2!V16)</f>
        <v xml:space="preserve"> </v>
      </c>
      <c r="B19" s="29" t="str">
        <f>IF(ISBLANK(Hoja2!W16)=TRUE," ",Hoja2!W16)</f>
        <v xml:space="preserve"> </v>
      </c>
      <c r="C19" s="29" t="str">
        <f>IF(ISBLANK(Hoja2!X16)=TRUE," ",Hoja2!X16)</f>
        <v xml:space="preserve"> </v>
      </c>
      <c r="D19" s="29" t="str">
        <f>IF(ISBLANK(Hoja2!Y16)=TRUE," ",Hoja2!Y16)</f>
        <v xml:space="preserve"> </v>
      </c>
      <c r="E19" s="29" t="str">
        <f>IF(ISBLANK(Hoja2!Z16)=TRUE," ",Hoja2!Z16)</f>
        <v xml:space="preserve"> </v>
      </c>
      <c r="F19" s="29" t="str">
        <f>IF(ISBLANK(Hoja2!AA16)=TRUE," ",Hoja2!AA16)</f>
        <v xml:space="preserve"> </v>
      </c>
      <c r="G19" s="29" t="str">
        <f>IF(ISBLANK(Hoja2!AB16)=TRUE," ",Hoja2!AB16)</f>
        <v xml:space="preserve"> </v>
      </c>
      <c r="H19" s="29" t="str">
        <f>IF(ISBLANK(Hoja2!AC16)=TRUE," ",Hoja2!AC16)</f>
        <v xml:space="preserve"> </v>
      </c>
      <c r="I19" s="29" t="str">
        <f>IF(ISBLANK(Hoja2!AD16)=TRUE," ",Hoja2!AD16)</f>
        <v xml:space="preserve"> </v>
      </c>
      <c r="J19" s="29" t="str">
        <f>IF(ISBLANK(Hoja2!AE16)=TRUE," ",Hoja2!AE16)</f>
        <v xml:space="preserve"> </v>
      </c>
      <c r="K19" s="29" t="str">
        <f>IF(ISBLANK(Hoja2!AF16)=TRUE," ",Hoja2!AF16)</f>
        <v xml:space="preserve"> </v>
      </c>
      <c r="L19" s="29" t="str">
        <f>IF(ISBLANK(Hoja2!AG16)=TRUE," ",Hoja2!AG16)</f>
        <v xml:space="preserve"> </v>
      </c>
      <c r="M19" s="29" t="str">
        <f>IF(ISBLANK(Hoja2!AH16)=TRUE," ",Hoja2!AH16)</f>
        <v xml:space="preserve"> </v>
      </c>
      <c r="N19" s="29" t="str">
        <f>IF(ISBLANK(Hoja2!AI16)=TRUE," ",Hoja2!AI16)</f>
        <v xml:space="preserve"> </v>
      </c>
      <c r="O19" s="29" t="str">
        <f>IF(ISBLANK(Hoja2!AJ16)=TRUE," ",Hoja2!AJ16)</f>
        <v xml:space="preserve"> </v>
      </c>
      <c r="P19" s="29" t="str">
        <f>IF(ISBLANK(Hoja2!AK16)=TRUE," ",Hoja2!AK16)</f>
        <v xml:space="preserve"> </v>
      </c>
      <c r="Q19" s="29" t="str">
        <f>IF(ISBLANK(Hoja2!AL16)=TRUE," ",Hoja2!AL16)</f>
        <v xml:space="preserve"> </v>
      </c>
      <c r="R19" s="29" t="str">
        <f>IF(ISBLANK(Hoja2!AM16)=TRUE," ",Hoja2!AM16)</f>
        <v xml:space="preserve"> </v>
      </c>
      <c r="S19" s="29" t="str">
        <f>IF(ISBLANK(Hoja2!AN16)=TRUE," ",Hoja2!AN16)</f>
        <v xml:space="preserve"> </v>
      </c>
      <c r="T19" s="29" t="str">
        <f>IF(ISBLANK(Hoja2!AO16)=TRUE," ",Hoja2!AO16)</f>
        <v xml:space="preserve"> </v>
      </c>
      <c r="U19" s="29" t="str">
        <f>IF(ISBLANK(Hoja2!AP16)=TRUE," ",Hoja2!AP16)</f>
        <v xml:space="preserve"> </v>
      </c>
      <c r="V19" s="29" t="str">
        <f>IF(ISBLANK(Hoja2!AQ16)=TRUE," ",Hoja2!AQ16)</f>
        <v xml:space="preserve"> </v>
      </c>
      <c r="W19" s="29" t="str">
        <f>IF(ISBLANK(Hoja2!AR16)=TRUE," ",Hoja2!AR16)</f>
        <v xml:space="preserve"> </v>
      </c>
      <c r="X19" s="29" t="str">
        <f>IF(ISBLANK(Hoja2!AS16)=TRUE," ",Hoja2!AS16)</f>
        <v xml:space="preserve"> </v>
      </c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</row>
    <row r="20" spans="1:53" s="15" customFormat="1" ht="23.25" customHeight="1" x14ac:dyDescent="0.25">
      <c r="A20" s="29" t="str">
        <f>IF(ISBLANK(Hoja2!V17)=TRUE," ",Hoja2!V17)</f>
        <v xml:space="preserve"> </v>
      </c>
      <c r="B20" s="29" t="str">
        <f>IF(ISBLANK(Hoja2!W17)=TRUE," ",Hoja2!W17)</f>
        <v xml:space="preserve"> </v>
      </c>
      <c r="C20" s="29" t="str">
        <f>IF(ISBLANK(Hoja2!X17)=TRUE," ",Hoja2!X17)</f>
        <v xml:space="preserve"> </v>
      </c>
      <c r="D20" s="29" t="str">
        <f>IF(ISBLANK(Hoja2!Y17)=TRUE," ",Hoja2!Y17)</f>
        <v xml:space="preserve"> </v>
      </c>
      <c r="E20" s="29" t="str">
        <f>IF(ISBLANK(Hoja2!Z17)=TRUE," ",Hoja2!Z17)</f>
        <v xml:space="preserve"> </v>
      </c>
      <c r="F20" s="29" t="str">
        <f>IF(ISBLANK(Hoja2!AA17)=TRUE," ",Hoja2!AA17)</f>
        <v xml:space="preserve"> </v>
      </c>
      <c r="G20" s="29" t="str">
        <f>IF(ISBLANK(Hoja2!AB17)=TRUE," ",Hoja2!AB17)</f>
        <v xml:space="preserve"> </v>
      </c>
      <c r="H20" s="29" t="str">
        <f>IF(ISBLANK(Hoja2!AC17)=TRUE," ",Hoja2!AC17)</f>
        <v xml:space="preserve"> </v>
      </c>
      <c r="I20" s="29" t="str">
        <f>IF(ISBLANK(Hoja2!AD17)=TRUE," ",Hoja2!AD17)</f>
        <v xml:space="preserve"> </v>
      </c>
      <c r="J20" s="29" t="str">
        <f>IF(ISBLANK(Hoja2!AE17)=TRUE," ",Hoja2!AE17)</f>
        <v xml:space="preserve"> </v>
      </c>
      <c r="K20" s="29" t="str">
        <f>IF(ISBLANK(Hoja2!AF17)=TRUE," ",Hoja2!AF17)</f>
        <v xml:space="preserve"> </v>
      </c>
      <c r="L20" s="29" t="str">
        <f>IF(ISBLANK(Hoja2!AG17)=TRUE," ",Hoja2!AG17)</f>
        <v xml:space="preserve"> </v>
      </c>
      <c r="M20" s="29" t="str">
        <f>IF(ISBLANK(Hoja2!AH17)=TRUE," ",Hoja2!AH17)</f>
        <v xml:space="preserve"> </v>
      </c>
      <c r="N20" s="29" t="str">
        <f>IF(ISBLANK(Hoja2!AI17)=TRUE," ",Hoja2!AI17)</f>
        <v xml:space="preserve"> </v>
      </c>
      <c r="O20" s="29" t="str">
        <f>IF(ISBLANK(Hoja2!AJ17)=TRUE," ",Hoja2!AJ17)</f>
        <v xml:space="preserve"> </v>
      </c>
      <c r="P20" s="29" t="str">
        <f>IF(ISBLANK(Hoja2!AK17)=TRUE," ",Hoja2!AK17)</f>
        <v xml:space="preserve"> </v>
      </c>
      <c r="Q20" s="29" t="str">
        <f>IF(ISBLANK(Hoja2!AL17)=TRUE," ",Hoja2!AL17)</f>
        <v xml:space="preserve"> </v>
      </c>
      <c r="R20" s="29" t="str">
        <f>IF(ISBLANK(Hoja2!AM17)=TRUE," ",Hoja2!AM17)</f>
        <v xml:space="preserve"> </v>
      </c>
      <c r="S20" s="29" t="str">
        <f>IF(ISBLANK(Hoja2!AN17)=TRUE," ",Hoja2!AN17)</f>
        <v xml:space="preserve"> </v>
      </c>
      <c r="T20" s="29" t="str">
        <f>IF(ISBLANK(Hoja2!AO17)=TRUE," ",Hoja2!AO17)</f>
        <v xml:space="preserve"> </v>
      </c>
      <c r="U20" s="29" t="str">
        <f>IF(ISBLANK(Hoja2!AP17)=TRUE," ",Hoja2!AP17)</f>
        <v xml:space="preserve"> </v>
      </c>
      <c r="V20" s="29" t="str">
        <f>IF(ISBLANK(Hoja2!AQ17)=TRUE," ",Hoja2!AQ17)</f>
        <v xml:space="preserve"> </v>
      </c>
      <c r="W20" s="29" t="str">
        <f>IF(ISBLANK(Hoja2!AR17)=TRUE," ",Hoja2!AR17)</f>
        <v xml:space="preserve"> </v>
      </c>
      <c r="X20" s="29" t="str">
        <f>IF(ISBLANK(Hoja2!AS17)=TRUE," ",Hoja2!AS17)</f>
        <v xml:space="preserve"> </v>
      </c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</row>
    <row r="21" spans="1:53" s="15" customFormat="1" ht="23.25" customHeight="1" x14ac:dyDescent="0.25">
      <c r="A21" s="29" t="str">
        <f>IF(ISBLANK(Hoja2!V18)=TRUE," ",Hoja2!V18)</f>
        <v xml:space="preserve"> </v>
      </c>
      <c r="B21" s="29" t="str">
        <f>IF(ISBLANK(Hoja2!W18)=TRUE," ",Hoja2!W18)</f>
        <v xml:space="preserve"> </v>
      </c>
      <c r="C21" s="29" t="str">
        <f>IF(ISBLANK(Hoja2!X18)=TRUE," ",Hoja2!X18)</f>
        <v xml:space="preserve"> </v>
      </c>
      <c r="D21" s="29" t="str">
        <f>IF(ISBLANK(Hoja2!Y18)=TRUE," ",Hoja2!Y18)</f>
        <v xml:space="preserve"> </v>
      </c>
      <c r="E21" s="29" t="str">
        <f>IF(ISBLANK(Hoja2!Z18)=TRUE," ",Hoja2!Z18)</f>
        <v xml:space="preserve"> </v>
      </c>
      <c r="F21" s="29" t="str">
        <f>IF(ISBLANK(Hoja2!AA18)=TRUE," ",Hoja2!AA18)</f>
        <v xml:space="preserve"> </v>
      </c>
      <c r="G21" s="29" t="str">
        <f>IF(ISBLANK(Hoja2!AB18)=TRUE," ",Hoja2!AB18)</f>
        <v xml:space="preserve"> </v>
      </c>
      <c r="H21" s="29" t="str">
        <f>IF(ISBLANK(Hoja2!AC18)=TRUE," ",Hoja2!AC18)</f>
        <v xml:space="preserve"> </v>
      </c>
      <c r="I21" s="29" t="str">
        <f>IF(ISBLANK(Hoja2!AD18)=TRUE," ",Hoja2!AD18)</f>
        <v xml:space="preserve"> </v>
      </c>
      <c r="J21" s="29" t="str">
        <f>IF(ISBLANK(Hoja2!AE18)=TRUE," ",Hoja2!AE18)</f>
        <v xml:space="preserve"> </v>
      </c>
      <c r="K21" s="29" t="str">
        <f>IF(ISBLANK(Hoja2!AF18)=TRUE," ",Hoja2!AF18)</f>
        <v xml:space="preserve"> </v>
      </c>
      <c r="L21" s="29" t="str">
        <f>IF(ISBLANK(Hoja2!AG18)=TRUE," ",Hoja2!AG18)</f>
        <v xml:space="preserve"> </v>
      </c>
      <c r="M21" s="29" t="str">
        <f>IF(ISBLANK(Hoja2!AH18)=TRUE," ",Hoja2!AH18)</f>
        <v xml:space="preserve"> </v>
      </c>
      <c r="N21" s="29" t="str">
        <f>IF(ISBLANK(Hoja2!AI18)=TRUE," ",Hoja2!AI18)</f>
        <v xml:space="preserve"> </v>
      </c>
      <c r="O21" s="29" t="str">
        <f>IF(ISBLANK(Hoja2!AJ18)=TRUE," ",Hoja2!AJ18)</f>
        <v xml:space="preserve"> </v>
      </c>
      <c r="P21" s="29" t="str">
        <f>IF(ISBLANK(Hoja2!AK18)=TRUE," ",Hoja2!AK18)</f>
        <v xml:space="preserve"> </v>
      </c>
      <c r="Q21" s="29" t="str">
        <f>IF(ISBLANK(Hoja2!AL18)=TRUE," ",Hoja2!AL18)</f>
        <v xml:space="preserve"> </v>
      </c>
      <c r="R21" s="29" t="str">
        <f>IF(ISBLANK(Hoja2!AM18)=TRUE," ",Hoja2!AM18)</f>
        <v xml:space="preserve"> </v>
      </c>
      <c r="S21" s="29" t="str">
        <f>IF(ISBLANK(Hoja2!AN18)=TRUE," ",Hoja2!AN18)</f>
        <v xml:space="preserve"> </v>
      </c>
      <c r="T21" s="29" t="str">
        <f>IF(ISBLANK(Hoja2!AO18)=TRUE," ",Hoja2!AO18)</f>
        <v xml:space="preserve"> </v>
      </c>
      <c r="U21" s="29" t="str">
        <f>IF(ISBLANK(Hoja2!AP18)=TRUE," ",Hoja2!AP18)</f>
        <v xml:space="preserve"> </v>
      </c>
      <c r="V21" s="29" t="str">
        <f>IF(ISBLANK(Hoja2!AQ18)=TRUE," ",Hoja2!AQ18)</f>
        <v xml:space="preserve"> </v>
      </c>
      <c r="W21" s="29" t="str">
        <f>IF(ISBLANK(Hoja2!AR18)=TRUE," ",Hoja2!AR18)</f>
        <v xml:space="preserve"> </v>
      </c>
      <c r="X21" s="29" t="str">
        <f>IF(ISBLANK(Hoja2!AS18)=TRUE," ",Hoja2!AS18)</f>
        <v xml:space="preserve"> </v>
      </c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</row>
    <row r="22" spans="1:53" s="15" customFormat="1" ht="23.25" customHeight="1" x14ac:dyDescent="0.25">
      <c r="A22" s="29" t="str">
        <f>IF(ISBLANK(Hoja2!V19)=TRUE," ",Hoja2!V19)</f>
        <v xml:space="preserve"> </v>
      </c>
      <c r="B22" s="29" t="str">
        <f>IF(ISBLANK(Hoja2!W19)=TRUE," ",Hoja2!W19)</f>
        <v xml:space="preserve"> </v>
      </c>
      <c r="C22" s="29" t="str">
        <f>IF(ISBLANK(Hoja2!X19)=TRUE," ",Hoja2!X19)</f>
        <v xml:space="preserve"> </v>
      </c>
      <c r="D22" s="29" t="str">
        <f>IF(ISBLANK(Hoja2!Y19)=TRUE," ",Hoja2!Y19)</f>
        <v xml:space="preserve"> </v>
      </c>
      <c r="E22" s="29" t="str">
        <f>IF(ISBLANK(Hoja2!Z19)=TRUE," ",Hoja2!Z19)</f>
        <v xml:space="preserve"> </v>
      </c>
      <c r="F22" s="29" t="str">
        <f>IF(ISBLANK(Hoja2!AA19)=TRUE," ",Hoja2!AA19)</f>
        <v xml:space="preserve"> </v>
      </c>
      <c r="G22" s="29" t="str">
        <f>IF(ISBLANK(Hoja2!AB19)=TRUE," ",Hoja2!AB19)</f>
        <v xml:space="preserve"> </v>
      </c>
      <c r="H22" s="29" t="str">
        <f>IF(ISBLANK(Hoja2!AC19)=TRUE," ",Hoja2!AC19)</f>
        <v xml:space="preserve"> </v>
      </c>
      <c r="I22" s="29" t="str">
        <f>IF(ISBLANK(Hoja2!AD19)=TRUE," ",Hoja2!AD19)</f>
        <v xml:space="preserve"> </v>
      </c>
      <c r="J22" s="29" t="str">
        <f>IF(ISBLANK(Hoja2!AE19)=TRUE," ",Hoja2!AE19)</f>
        <v xml:space="preserve"> </v>
      </c>
      <c r="K22" s="29" t="str">
        <f>IF(ISBLANK(Hoja2!AF19)=TRUE," ",Hoja2!AF19)</f>
        <v xml:space="preserve"> </v>
      </c>
      <c r="L22" s="29" t="str">
        <f>IF(ISBLANK(Hoja2!AG19)=TRUE," ",Hoja2!AG19)</f>
        <v xml:space="preserve"> </v>
      </c>
      <c r="M22" s="29" t="str">
        <f>IF(ISBLANK(Hoja2!AH19)=TRUE," ",Hoja2!AH19)</f>
        <v xml:space="preserve"> </v>
      </c>
      <c r="N22" s="29" t="str">
        <f>IF(ISBLANK(Hoja2!AI19)=TRUE," ",Hoja2!AI19)</f>
        <v xml:space="preserve"> </v>
      </c>
      <c r="O22" s="29" t="str">
        <f>IF(ISBLANK(Hoja2!AJ19)=TRUE," ",Hoja2!AJ19)</f>
        <v xml:space="preserve"> </v>
      </c>
      <c r="P22" s="29" t="str">
        <f>IF(ISBLANK(Hoja2!AK19)=TRUE," ",Hoja2!AK19)</f>
        <v xml:space="preserve"> </v>
      </c>
      <c r="Q22" s="29" t="str">
        <f>IF(ISBLANK(Hoja2!AL19)=TRUE," ",Hoja2!AL19)</f>
        <v xml:space="preserve"> </v>
      </c>
      <c r="R22" s="29" t="str">
        <f>IF(ISBLANK(Hoja2!AM19)=TRUE," ",Hoja2!AM19)</f>
        <v xml:space="preserve"> </v>
      </c>
      <c r="S22" s="29" t="str">
        <f>IF(ISBLANK(Hoja2!AN19)=TRUE," ",Hoja2!AN19)</f>
        <v xml:space="preserve"> </v>
      </c>
      <c r="T22" s="29" t="str">
        <f>IF(ISBLANK(Hoja2!AO19)=TRUE," ",Hoja2!AO19)</f>
        <v xml:space="preserve"> </v>
      </c>
      <c r="U22" s="29" t="str">
        <f>IF(ISBLANK(Hoja2!AP19)=TRUE," ",Hoja2!AP19)</f>
        <v xml:space="preserve"> </v>
      </c>
      <c r="V22" s="29" t="str">
        <f>IF(ISBLANK(Hoja2!AQ19)=TRUE," ",Hoja2!AQ19)</f>
        <v xml:space="preserve"> </v>
      </c>
      <c r="W22" s="29" t="str">
        <f>IF(ISBLANK(Hoja2!AR19)=TRUE," ",Hoja2!AR19)</f>
        <v xml:space="preserve"> </v>
      </c>
      <c r="X22" s="29" t="str">
        <f>IF(ISBLANK(Hoja2!AS19)=TRUE," ",Hoja2!AS19)</f>
        <v xml:space="preserve"> </v>
      </c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</row>
    <row r="23" spans="1:53" s="15" customFormat="1" ht="23.25" customHeight="1" x14ac:dyDescent="0.25">
      <c r="A23" s="29" t="str">
        <f>IF(ISBLANK(Hoja2!V20)=TRUE," ",Hoja2!V20)</f>
        <v xml:space="preserve"> </v>
      </c>
      <c r="B23" s="29" t="str">
        <f>IF(ISBLANK(Hoja2!W20)=TRUE," ",Hoja2!W20)</f>
        <v xml:space="preserve"> </v>
      </c>
      <c r="C23" s="29" t="str">
        <f>IF(ISBLANK(Hoja2!X20)=TRUE," ",Hoja2!X20)</f>
        <v xml:space="preserve"> </v>
      </c>
      <c r="D23" s="29" t="str">
        <f>IF(ISBLANK(Hoja2!Y20)=TRUE," ",Hoja2!Y20)</f>
        <v xml:space="preserve"> </v>
      </c>
      <c r="E23" s="29" t="str">
        <f>IF(ISBLANK(Hoja2!Z20)=TRUE," ",Hoja2!Z20)</f>
        <v xml:space="preserve"> </v>
      </c>
      <c r="F23" s="29" t="str">
        <f>IF(ISBLANK(Hoja2!AA20)=TRUE," ",Hoja2!AA20)</f>
        <v xml:space="preserve"> </v>
      </c>
      <c r="G23" s="29" t="str">
        <f>IF(ISBLANK(Hoja2!AB20)=TRUE," ",Hoja2!AB20)</f>
        <v xml:space="preserve"> </v>
      </c>
      <c r="H23" s="29" t="str">
        <f>IF(ISBLANK(Hoja2!AC20)=TRUE," ",Hoja2!AC20)</f>
        <v xml:space="preserve"> </v>
      </c>
      <c r="I23" s="29" t="str">
        <f>IF(ISBLANK(Hoja2!AD20)=TRUE," ",Hoja2!AD20)</f>
        <v xml:space="preserve"> </v>
      </c>
      <c r="J23" s="29" t="str">
        <f>IF(ISBLANK(Hoja2!AE20)=TRUE," ",Hoja2!AE20)</f>
        <v xml:space="preserve"> </v>
      </c>
      <c r="K23" s="29" t="str">
        <f>IF(ISBLANK(Hoja2!AF20)=TRUE," ",Hoja2!AF20)</f>
        <v xml:space="preserve"> </v>
      </c>
      <c r="L23" s="29" t="str">
        <f>IF(ISBLANK(Hoja2!AG20)=TRUE," ",Hoja2!AG20)</f>
        <v xml:space="preserve"> </v>
      </c>
      <c r="M23" s="29" t="str">
        <f>IF(ISBLANK(Hoja2!AH20)=TRUE," ",Hoja2!AH20)</f>
        <v xml:space="preserve"> </v>
      </c>
      <c r="N23" s="29" t="str">
        <f>IF(ISBLANK(Hoja2!AI20)=TRUE," ",Hoja2!AI20)</f>
        <v xml:space="preserve"> </v>
      </c>
      <c r="O23" s="29" t="str">
        <f>IF(ISBLANK(Hoja2!AJ20)=TRUE," ",Hoja2!AJ20)</f>
        <v xml:space="preserve"> </v>
      </c>
      <c r="P23" s="29" t="str">
        <f>IF(ISBLANK(Hoja2!AK20)=TRUE," ",Hoja2!AK20)</f>
        <v xml:space="preserve"> </v>
      </c>
      <c r="Q23" s="29" t="str">
        <f>IF(ISBLANK(Hoja2!AL20)=TRUE," ",Hoja2!AL20)</f>
        <v xml:space="preserve"> </v>
      </c>
      <c r="R23" s="29" t="str">
        <f>IF(ISBLANK(Hoja2!AM20)=TRUE," ",Hoja2!AM20)</f>
        <v xml:space="preserve"> </v>
      </c>
      <c r="S23" s="29" t="str">
        <f>IF(ISBLANK(Hoja2!AN20)=TRUE," ",Hoja2!AN20)</f>
        <v xml:space="preserve"> </v>
      </c>
      <c r="T23" s="29" t="str">
        <f>IF(ISBLANK(Hoja2!AO20)=TRUE," ",Hoja2!AO20)</f>
        <v xml:space="preserve"> </v>
      </c>
      <c r="U23" s="29" t="str">
        <f>IF(ISBLANK(Hoja2!AP20)=TRUE," ",Hoja2!AP20)</f>
        <v xml:space="preserve"> </v>
      </c>
      <c r="V23" s="29" t="str">
        <f>IF(ISBLANK(Hoja2!AQ20)=TRUE," ",Hoja2!AQ20)</f>
        <v xml:space="preserve"> </v>
      </c>
      <c r="W23" s="29" t="str">
        <f>IF(ISBLANK(Hoja2!AR20)=TRUE," ",Hoja2!AR20)</f>
        <v xml:space="preserve"> </v>
      </c>
      <c r="X23" s="29" t="str">
        <f>IF(ISBLANK(Hoja2!AS20)=TRUE," ",Hoja2!AS20)</f>
        <v xml:space="preserve"> </v>
      </c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</row>
    <row r="24" spans="1:53" s="15" customFormat="1" ht="23.25" customHeight="1" x14ac:dyDescent="0.25">
      <c r="A24" s="29" t="str">
        <f>IF(ISBLANK(Hoja2!V21)=TRUE," ",Hoja2!V21)</f>
        <v xml:space="preserve"> </v>
      </c>
      <c r="B24" s="29" t="str">
        <f>IF(ISBLANK(Hoja2!W21)=TRUE," ",Hoja2!W21)</f>
        <v xml:space="preserve"> </v>
      </c>
      <c r="C24" s="29" t="str">
        <f>IF(ISBLANK(Hoja2!X21)=TRUE," ",Hoja2!X21)</f>
        <v xml:space="preserve"> </v>
      </c>
      <c r="D24" s="29" t="str">
        <f>IF(ISBLANK(Hoja2!Y21)=TRUE," ",Hoja2!Y21)</f>
        <v xml:space="preserve"> </v>
      </c>
      <c r="E24" s="29" t="str">
        <f>IF(ISBLANK(Hoja2!Z21)=TRUE," ",Hoja2!Z21)</f>
        <v xml:space="preserve"> </v>
      </c>
      <c r="F24" s="29" t="str">
        <f>IF(ISBLANK(Hoja2!AA21)=TRUE," ",Hoja2!AA21)</f>
        <v xml:space="preserve"> </v>
      </c>
      <c r="G24" s="29" t="str">
        <f>IF(ISBLANK(Hoja2!AB21)=TRUE," ",Hoja2!AB21)</f>
        <v xml:space="preserve"> </v>
      </c>
      <c r="H24" s="29" t="str">
        <f>IF(ISBLANK(Hoja2!AC21)=TRUE," ",Hoja2!AC21)</f>
        <v xml:space="preserve"> </v>
      </c>
      <c r="I24" s="29" t="str">
        <f>IF(ISBLANK(Hoja2!AD21)=TRUE," ",Hoja2!AD21)</f>
        <v xml:space="preserve"> </v>
      </c>
      <c r="J24" s="29" t="str">
        <f>IF(ISBLANK(Hoja2!AE21)=TRUE," ",Hoja2!AE21)</f>
        <v xml:space="preserve"> </v>
      </c>
      <c r="K24" s="29" t="str">
        <f>IF(ISBLANK(Hoja2!AF21)=TRUE," ",Hoja2!AF21)</f>
        <v xml:space="preserve"> </v>
      </c>
      <c r="L24" s="29" t="str">
        <f>IF(ISBLANK(Hoja2!AG21)=TRUE," ",Hoja2!AG21)</f>
        <v xml:space="preserve"> </v>
      </c>
      <c r="M24" s="29" t="str">
        <f>IF(ISBLANK(Hoja2!AH21)=TRUE," ",Hoja2!AH21)</f>
        <v xml:space="preserve"> </v>
      </c>
      <c r="N24" s="29" t="str">
        <f>IF(ISBLANK(Hoja2!AI21)=TRUE," ",Hoja2!AI21)</f>
        <v xml:space="preserve"> </v>
      </c>
      <c r="O24" s="29" t="str">
        <f>IF(ISBLANK(Hoja2!AJ21)=TRUE," ",Hoja2!AJ21)</f>
        <v xml:space="preserve"> </v>
      </c>
      <c r="P24" s="29" t="str">
        <f>IF(ISBLANK(Hoja2!AK21)=TRUE," ",Hoja2!AK21)</f>
        <v xml:space="preserve"> </v>
      </c>
      <c r="Q24" s="29" t="str">
        <f>IF(ISBLANK(Hoja2!AL21)=TRUE," ",Hoja2!AL21)</f>
        <v xml:space="preserve"> </v>
      </c>
      <c r="R24" s="29" t="str">
        <f>IF(ISBLANK(Hoja2!AM21)=TRUE," ",Hoja2!AM21)</f>
        <v xml:space="preserve"> </v>
      </c>
      <c r="S24" s="29" t="str">
        <f>IF(ISBLANK(Hoja2!AN21)=TRUE," ",Hoja2!AN21)</f>
        <v xml:space="preserve"> </v>
      </c>
      <c r="T24" s="29" t="str">
        <f>IF(ISBLANK(Hoja2!AO21)=TRUE," ",Hoja2!AO21)</f>
        <v xml:space="preserve"> </v>
      </c>
      <c r="U24" s="29" t="str">
        <f>IF(ISBLANK(Hoja2!AP21)=TRUE," ",Hoja2!AP21)</f>
        <v xml:space="preserve"> </v>
      </c>
      <c r="V24" s="29" t="str">
        <f>IF(ISBLANK(Hoja2!AQ21)=TRUE," ",Hoja2!AQ21)</f>
        <v xml:space="preserve"> </v>
      </c>
      <c r="W24" s="29" t="str">
        <f>IF(ISBLANK(Hoja2!AR21)=TRUE," ",Hoja2!AR21)</f>
        <v xml:space="preserve"> </v>
      </c>
      <c r="X24" s="29" t="str">
        <f>IF(ISBLANK(Hoja2!AS21)=TRUE," ",Hoja2!AS21)</f>
        <v xml:space="preserve"> </v>
      </c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</row>
    <row r="25" spans="1:53" ht="24.75" customHeight="1" x14ac:dyDescent="0.25">
      <c r="A25" s="21"/>
      <c r="B25" s="22"/>
      <c r="C25" s="22"/>
      <c r="D25" s="23"/>
      <c r="E25" s="23"/>
      <c r="F25" s="24"/>
      <c r="G25" s="24"/>
      <c r="H25" s="24"/>
      <c r="I25" s="24"/>
      <c r="J25" s="24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AW25" s="6"/>
      <c r="AX25" s="6"/>
      <c r="AY25" s="4"/>
      <c r="AZ25" s="4"/>
      <c r="BA25" s="4"/>
    </row>
    <row r="26" spans="1:53" ht="21" customHeight="1" x14ac:dyDescent="0.25">
      <c r="A26" s="25" t="s">
        <v>2556</v>
      </c>
      <c r="D26" s="3"/>
      <c r="E26" s="3"/>
      <c r="F26" s="67"/>
      <c r="G26" s="67"/>
      <c r="H26" s="67"/>
      <c r="I26" s="67"/>
      <c r="J26" s="68"/>
      <c r="K26" s="69"/>
      <c r="L26" s="69"/>
      <c r="M26" s="69"/>
      <c r="N26" s="69"/>
      <c r="O26" s="69"/>
      <c r="P26" s="69"/>
      <c r="Q26" s="30"/>
      <c r="R26" s="25" t="s">
        <v>2</v>
      </c>
      <c r="S26" s="69"/>
      <c r="T26" s="69"/>
      <c r="U26" s="69"/>
      <c r="V26" s="69"/>
      <c r="W26" s="69"/>
      <c r="X26" s="30"/>
      <c r="AW26" s="6"/>
      <c r="AX26" s="6"/>
      <c r="AY26" s="4"/>
      <c r="AZ26" s="4"/>
      <c r="BA26" s="4"/>
    </row>
    <row r="27" spans="1:53" ht="21" customHeight="1" x14ac:dyDescent="0.25">
      <c r="A27" s="25"/>
      <c r="B27" s="25"/>
      <c r="C27" s="25"/>
      <c r="D27" s="26"/>
      <c r="E27" s="26"/>
      <c r="F27" s="25"/>
      <c r="G27" s="25"/>
      <c r="H27" s="25"/>
      <c r="I27" s="28"/>
      <c r="J27" s="25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AW27" s="20"/>
      <c r="AX27" s="20"/>
      <c r="AY27" s="20"/>
      <c r="AZ27" s="20"/>
      <c r="BA27" s="20"/>
    </row>
    <row r="28" spans="1:53" ht="21" customHeight="1" x14ac:dyDescent="0.25">
      <c r="A28" s="25" t="s">
        <v>2557</v>
      </c>
      <c r="B28" s="27"/>
      <c r="C28" s="27"/>
      <c r="D28" s="27"/>
      <c r="E28" s="27"/>
      <c r="F28" s="70"/>
      <c r="G28" s="70"/>
      <c r="H28" s="70"/>
      <c r="I28" s="70"/>
      <c r="J28" s="71"/>
      <c r="K28" s="69"/>
      <c r="L28" s="69"/>
      <c r="M28" s="69"/>
      <c r="N28" s="69"/>
      <c r="O28" s="69"/>
      <c r="P28" s="69"/>
      <c r="Q28" s="30"/>
      <c r="R28" s="28" t="s">
        <v>2555</v>
      </c>
      <c r="S28" s="30"/>
      <c r="T28" s="69"/>
      <c r="U28" s="69"/>
      <c r="V28" s="69"/>
      <c r="W28" s="69"/>
      <c r="X28" s="30"/>
      <c r="AW28" s="7"/>
      <c r="AX28" s="7"/>
    </row>
    <row r="29" spans="1:53" ht="21" customHeight="1" x14ac:dyDescent="0.2"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AW29" s="7"/>
      <c r="AX29" s="7"/>
    </row>
    <row r="30" spans="1:53" ht="21" customHeight="1" x14ac:dyDescent="0.25">
      <c r="A30" s="25" t="s">
        <v>2558</v>
      </c>
      <c r="B30" s="28"/>
      <c r="C30" s="28"/>
      <c r="D30" s="28"/>
      <c r="E30" s="28"/>
      <c r="F30" s="68"/>
      <c r="G30" s="68"/>
      <c r="H30" s="68"/>
      <c r="I30" s="68"/>
      <c r="J30" s="67"/>
      <c r="K30" s="69"/>
      <c r="L30" s="69"/>
      <c r="M30" s="69"/>
      <c r="N30" s="69"/>
      <c r="O30" s="69"/>
      <c r="P30" s="69"/>
      <c r="Q30" s="30"/>
      <c r="R30" s="28" t="s">
        <v>6</v>
      </c>
      <c r="S30" s="30"/>
      <c r="T30" s="69"/>
      <c r="U30" s="69"/>
      <c r="V30" s="69"/>
      <c r="W30" s="69"/>
      <c r="X30" s="30"/>
      <c r="AW30" s="7"/>
      <c r="AX30" s="7"/>
    </row>
    <row r="31" spans="1:53" ht="18" customHeight="1" x14ac:dyDescent="0.2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AW31" s="7"/>
      <c r="AX31" s="7"/>
    </row>
    <row r="32" spans="1:53" x14ac:dyDescent="0.2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</row>
    <row r="33" spans="1:24" x14ac:dyDescent="0.2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</row>
  </sheetData>
  <sortState ref="A5:X10">
    <sortCondition descending="1" ref="Q5"/>
  </sortState>
  <mergeCells count="3">
    <mergeCell ref="A1:X1"/>
    <mergeCell ref="A2:X2"/>
    <mergeCell ref="A3:X3"/>
  </mergeCells>
  <pageMargins left="0.19685039370078741" right="0.19685039370078741" top="0.19685039370078741" bottom="0.19685039370078741" header="0" footer="0"/>
  <pageSetup paperSize="5" scale="71" orientation="landscape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5:G199"/>
  <sheetViews>
    <sheetView topLeftCell="A40" workbookViewId="0">
      <selection activeCell="E66" sqref="E66"/>
    </sheetView>
  </sheetViews>
  <sheetFormatPr baseColWidth="10" defaultRowHeight="15" x14ac:dyDescent="0.25"/>
  <cols>
    <col min="1" max="1" width="19.28515625" style="1" bestFit="1" customWidth="1"/>
    <col min="2" max="2" width="28.28515625" style="1" bestFit="1" customWidth="1"/>
    <col min="3" max="4" width="13" style="1" bestFit="1" customWidth="1"/>
    <col min="5" max="5" width="45.5703125" style="1" bestFit="1" customWidth="1"/>
    <col min="6" max="6" width="69.140625" style="1" bestFit="1" customWidth="1"/>
    <col min="7" max="7" width="13" style="1" bestFit="1" customWidth="1"/>
    <col min="8" max="16384" width="11.42578125" style="1"/>
  </cols>
  <sheetData>
    <row r="5" spans="1:7" x14ac:dyDescent="0.25">
      <c r="A5" s="1" t="s">
        <v>78</v>
      </c>
      <c r="B5" s="1" t="s">
        <v>132</v>
      </c>
      <c r="C5" s="1" t="s">
        <v>319</v>
      </c>
      <c r="D5" s="1" t="s">
        <v>320</v>
      </c>
      <c r="E5" s="1" t="s">
        <v>79</v>
      </c>
      <c r="F5" s="1" t="s">
        <v>553</v>
      </c>
      <c r="G5" s="1" t="s">
        <v>320</v>
      </c>
    </row>
    <row r="6" spans="1:7" x14ac:dyDescent="0.25">
      <c r="A6" s="1" t="s">
        <v>81</v>
      </c>
      <c r="B6" s="1" t="s">
        <v>99</v>
      </c>
      <c r="C6" s="1" t="s">
        <v>321</v>
      </c>
      <c r="D6" s="1" t="s">
        <v>322</v>
      </c>
      <c r="E6" s="1" t="s">
        <v>135</v>
      </c>
      <c r="F6" s="1" t="s">
        <v>554</v>
      </c>
      <c r="G6" s="1" t="s">
        <v>322</v>
      </c>
    </row>
    <row r="7" spans="1:7" x14ac:dyDescent="0.25">
      <c r="A7" s="1" t="s">
        <v>81</v>
      </c>
      <c r="B7" s="1" t="s">
        <v>99</v>
      </c>
      <c r="C7" s="1" t="s">
        <v>321</v>
      </c>
      <c r="D7" s="1" t="s">
        <v>323</v>
      </c>
      <c r="E7" s="1" t="s">
        <v>150</v>
      </c>
      <c r="F7" s="1" t="s">
        <v>555</v>
      </c>
      <c r="G7" s="1" t="s">
        <v>323</v>
      </c>
    </row>
    <row r="8" spans="1:7" x14ac:dyDescent="0.25">
      <c r="A8" s="1" t="s">
        <v>81</v>
      </c>
      <c r="B8" s="1" t="s">
        <v>99</v>
      </c>
      <c r="C8" s="1" t="s">
        <v>321</v>
      </c>
      <c r="D8" s="1" t="s">
        <v>324</v>
      </c>
      <c r="E8" s="1" t="s">
        <v>145</v>
      </c>
      <c r="F8" s="1" t="s">
        <v>556</v>
      </c>
      <c r="G8" s="1" t="s">
        <v>324</v>
      </c>
    </row>
    <row r="9" spans="1:7" x14ac:dyDescent="0.25">
      <c r="A9" s="1" t="s">
        <v>81</v>
      </c>
      <c r="B9" s="1" t="s">
        <v>99</v>
      </c>
      <c r="C9" s="1" t="s">
        <v>321</v>
      </c>
      <c r="D9" s="1" t="s">
        <v>325</v>
      </c>
      <c r="E9" s="1" t="s">
        <v>149</v>
      </c>
      <c r="F9" s="1" t="s">
        <v>557</v>
      </c>
      <c r="G9" s="1" t="s">
        <v>325</v>
      </c>
    </row>
    <row r="10" spans="1:7" x14ac:dyDescent="0.25">
      <c r="A10" s="1" t="s">
        <v>81</v>
      </c>
      <c r="B10" s="1" t="s">
        <v>99</v>
      </c>
      <c r="C10" s="1" t="s">
        <v>321</v>
      </c>
      <c r="D10" s="1" t="s">
        <v>326</v>
      </c>
      <c r="E10" s="1" t="s">
        <v>140</v>
      </c>
      <c r="F10" s="1" t="s">
        <v>558</v>
      </c>
      <c r="G10" s="1" t="s">
        <v>326</v>
      </c>
    </row>
    <row r="11" spans="1:7" x14ac:dyDescent="0.25">
      <c r="A11" s="1" t="s">
        <v>81</v>
      </c>
      <c r="B11" s="1" t="s">
        <v>99</v>
      </c>
      <c r="C11" s="1" t="s">
        <v>321</v>
      </c>
      <c r="D11" s="1" t="s">
        <v>327</v>
      </c>
      <c r="E11" s="1" t="s">
        <v>134</v>
      </c>
      <c r="F11" s="1" t="s">
        <v>559</v>
      </c>
      <c r="G11" s="1" t="s">
        <v>327</v>
      </c>
    </row>
    <row r="12" spans="1:7" x14ac:dyDescent="0.25">
      <c r="A12" s="1" t="s">
        <v>81</v>
      </c>
      <c r="B12" s="1" t="s">
        <v>99</v>
      </c>
      <c r="C12" s="1" t="s">
        <v>321</v>
      </c>
      <c r="D12" s="1" t="s">
        <v>328</v>
      </c>
      <c r="E12" s="1" t="s">
        <v>146</v>
      </c>
      <c r="F12" s="1" t="s">
        <v>560</v>
      </c>
      <c r="G12" s="1" t="s">
        <v>328</v>
      </c>
    </row>
    <row r="13" spans="1:7" x14ac:dyDescent="0.25">
      <c r="A13" s="1" t="s">
        <v>81</v>
      </c>
      <c r="B13" s="1" t="s">
        <v>99</v>
      </c>
      <c r="C13" s="1" t="s">
        <v>321</v>
      </c>
      <c r="D13" s="1" t="s">
        <v>329</v>
      </c>
      <c r="E13" s="1" t="s">
        <v>147</v>
      </c>
      <c r="F13" s="1" t="s">
        <v>561</v>
      </c>
      <c r="G13" s="1" t="s">
        <v>329</v>
      </c>
    </row>
    <row r="14" spans="1:7" x14ac:dyDescent="0.25">
      <c r="A14" s="1" t="s">
        <v>81</v>
      </c>
      <c r="B14" s="1" t="s">
        <v>99</v>
      </c>
      <c r="C14" s="1" t="s">
        <v>321</v>
      </c>
      <c r="D14" s="1" t="s">
        <v>330</v>
      </c>
      <c r="E14" s="1" t="s">
        <v>138</v>
      </c>
      <c r="F14" s="1" t="s">
        <v>562</v>
      </c>
      <c r="G14" s="1" t="s">
        <v>330</v>
      </c>
    </row>
    <row r="15" spans="1:7" x14ac:dyDescent="0.25">
      <c r="A15" s="1" t="s">
        <v>81</v>
      </c>
      <c r="B15" s="1" t="s">
        <v>99</v>
      </c>
      <c r="C15" s="1" t="s">
        <v>321</v>
      </c>
      <c r="D15" s="1" t="s">
        <v>331</v>
      </c>
      <c r="E15" s="1" t="s">
        <v>137</v>
      </c>
      <c r="F15" s="1" t="s">
        <v>563</v>
      </c>
      <c r="G15" s="1" t="s">
        <v>331</v>
      </c>
    </row>
    <row r="16" spans="1:7" x14ac:dyDescent="0.25">
      <c r="A16" s="1" t="s">
        <v>81</v>
      </c>
      <c r="B16" s="1" t="s">
        <v>99</v>
      </c>
      <c r="C16" s="1" t="s">
        <v>321</v>
      </c>
      <c r="D16" s="1" t="s">
        <v>332</v>
      </c>
      <c r="E16" s="1" t="s">
        <v>144</v>
      </c>
      <c r="F16" s="1" t="s">
        <v>564</v>
      </c>
      <c r="G16" s="1" t="s">
        <v>332</v>
      </c>
    </row>
    <row r="17" spans="1:7" x14ac:dyDescent="0.25">
      <c r="A17" s="1" t="s">
        <v>81</v>
      </c>
      <c r="B17" s="1" t="s">
        <v>99</v>
      </c>
      <c r="C17" s="1" t="s">
        <v>321</v>
      </c>
      <c r="D17" s="1" t="s">
        <v>333</v>
      </c>
      <c r="E17" s="1" t="s">
        <v>139</v>
      </c>
      <c r="F17" s="1" t="s">
        <v>565</v>
      </c>
      <c r="G17" s="1" t="s">
        <v>333</v>
      </c>
    </row>
    <row r="18" spans="1:7" x14ac:dyDescent="0.25">
      <c r="A18" s="1" t="s">
        <v>81</v>
      </c>
      <c r="B18" s="1" t="s">
        <v>99</v>
      </c>
      <c r="C18" s="1" t="s">
        <v>321</v>
      </c>
      <c r="D18" s="1" t="s">
        <v>334</v>
      </c>
      <c r="E18" s="1" t="s">
        <v>136</v>
      </c>
      <c r="F18" s="1" t="s">
        <v>566</v>
      </c>
      <c r="G18" s="1" t="s">
        <v>334</v>
      </c>
    </row>
    <row r="19" spans="1:7" x14ac:dyDescent="0.25">
      <c r="A19" s="1" t="s">
        <v>81</v>
      </c>
      <c r="B19" s="1" t="s">
        <v>99</v>
      </c>
      <c r="C19" s="1" t="s">
        <v>321</v>
      </c>
      <c r="D19" s="1" t="s">
        <v>335</v>
      </c>
      <c r="E19" s="1" t="s">
        <v>141</v>
      </c>
      <c r="F19" s="1" t="s">
        <v>567</v>
      </c>
      <c r="G19" s="1" t="s">
        <v>335</v>
      </c>
    </row>
    <row r="20" spans="1:7" x14ac:dyDescent="0.25">
      <c r="A20" s="1" t="s">
        <v>81</v>
      </c>
      <c r="B20" s="1" t="s">
        <v>99</v>
      </c>
      <c r="C20" s="1" t="s">
        <v>321</v>
      </c>
      <c r="D20" s="1" t="s">
        <v>336</v>
      </c>
      <c r="E20" s="1" t="s">
        <v>143</v>
      </c>
      <c r="F20" s="1" t="s">
        <v>568</v>
      </c>
      <c r="G20" s="1" t="s">
        <v>336</v>
      </c>
    </row>
    <row r="21" spans="1:7" x14ac:dyDescent="0.25">
      <c r="A21" s="1" t="s">
        <v>81</v>
      </c>
      <c r="B21" s="1" t="s">
        <v>99</v>
      </c>
      <c r="C21" s="1" t="s">
        <v>321</v>
      </c>
      <c r="D21" s="1" t="s">
        <v>337</v>
      </c>
      <c r="E21" s="1" t="s">
        <v>133</v>
      </c>
      <c r="F21" s="1" t="s">
        <v>569</v>
      </c>
      <c r="G21" s="1" t="s">
        <v>337</v>
      </c>
    </row>
    <row r="22" spans="1:7" x14ac:dyDescent="0.25">
      <c r="A22" s="1" t="s">
        <v>81</v>
      </c>
      <c r="B22" s="1" t="s">
        <v>99</v>
      </c>
      <c r="C22" s="1" t="s">
        <v>321</v>
      </c>
      <c r="D22" s="1" t="s">
        <v>338</v>
      </c>
      <c r="E22" s="1" t="s">
        <v>148</v>
      </c>
      <c r="F22" s="1" t="s">
        <v>570</v>
      </c>
      <c r="G22" s="1" t="s">
        <v>338</v>
      </c>
    </row>
    <row r="23" spans="1:7" x14ac:dyDescent="0.25">
      <c r="A23" s="1" t="s">
        <v>81</v>
      </c>
      <c r="B23" s="1" t="s">
        <v>99</v>
      </c>
      <c r="C23" s="1" t="s">
        <v>321</v>
      </c>
      <c r="D23" s="1" t="s">
        <v>339</v>
      </c>
      <c r="E23" s="1" t="s">
        <v>142</v>
      </c>
      <c r="F23" s="1" t="s">
        <v>571</v>
      </c>
      <c r="G23" s="1" t="s">
        <v>339</v>
      </c>
    </row>
    <row r="24" spans="1:7" x14ac:dyDescent="0.25">
      <c r="A24" s="1" t="s">
        <v>81</v>
      </c>
      <c r="B24" s="1" t="s">
        <v>100</v>
      </c>
      <c r="C24" s="1" t="s">
        <v>340</v>
      </c>
      <c r="D24" s="1" t="s">
        <v>341</v>
      </c>
      <c r="E24" s="1" t="s">
        <v>156</v>
      </c>
      <c r="F24" s="1" t="s">
        <v>572</v>
      </c>
      <c r="G24" s="1" t="s">
        <v>341</v>
      </c>
    </row>
    <row r="25" spans="1:7" x14ac:dyDescent="0.25">
      <c r="A25" s="1" t="s">
        <v>81</v>
      </c>
      <c r="B25" s="1" t="s">
        <v>100</v>
      </c>
      <c r="C25" s="1" t="s">
        <v>340</v>
      </c>
      <c r="D25" s="1" t="s">
        <v>340</v>
      </c>
      <c r="E25" s="1" t="s">
        <v>100</v>
      </c>
      <c r="F25" s="1" t="s">
        <v>573</v>
      </c>
      <c r="G25" s="1" t="s">
        <v>340</v>
      </c>
    </row>
    <row r="26" spans="1:7" x14ac:dyDescent="0.25">
      <c r="A26" s="1" t="s">
        <v>81</v>
      </c>
      <c r="B26" s="1" t="s">
        <v>100</v>
      </c>
      <c r="C26" s="1" t="s">
        <v>340</v>
      </c>
      <c r="D26" s="1" t="s">
        <v>342</v>
      </c>
      <c r="E26" s="1" t="s">
        <v>157</v>
      </c>
      <c r="F26" s="1" t="s">
        <v>574</v>
      </c>
      <c r="G26" s="1" t="s">
        <v>342</v>
      </c>
    </row>
    <row r="27" spans="1:7" x14ac:dyDescent="0.25">
      <c r="A27" s="1" t="s">
        <v>81</v>
      </c>
      <c r="B27" s="1" t="s">
        <v>100</v>
      </c>
      <c r="C27" s="1" t="s">
        <v>340</v>
      </c>
      <c r="D27" s="1" t="s">
        <v>343</v>
      </c>
      <c r="E27" s="1" t="s">
        <v>152</v>
      </c>
      <c r="F27" s="1" t="s">
        <v>575</v>
      </c>
      <c r="G27" s="1" t="s">
        <v>343</v>
      </c>
    </row>
    <row r="28" spans="1:7" x14ac:dyDescent="0.25">
      <c r="A28" s="1" t="s">
        <v>81</v>
      </c>
      <c r="B28" s="1" t="s">
        <v>100</v>
      </c>
      <c r="C28" s="1" t="s">
        <v>340</v>
      </c>
      <c r="D28" s="1" t="s">
        <v>344</v>
      </c>
      <c r="E28" s="1" t="s">
        <v>153</v>
      </c>
      <c r="F28" s="1" t="s">
        <v>576</v>
      </c>
      <c r="G28" s="1" t="s">
        <v>344</v>
      </c>
    </row>
    <row r="29" spans="1:7" x14ac:dyDescent="0.25">
      <c r="A29" s="1" t="s">
        <v>81</v>
      </c>
      <c r="B29" s="1" t="s">
        <v>100</v>
      </c>
      <c r="C29" s="1" t="s">
        <v>340</v>
      </c>
      <c r="D29" s="1" t="s">
        <v>345</v>
      </c>
      <c r="E29" s="1" t="s">
        <v>154</v>
      </c>
      <c r="F29" s="1" t="s">
        <v>577</v>
      </c>
      <c r="G29" s="1" t="s">
        <v>345</v>
      </c>
    </row>
    <row r="30" spans="1:7" x14ac:dyDescent="0.25">
      <c r="A30" s="1" t="s">
        <v>81</v>
      </c>
      <c r="B30" s="1" t="s">
        <v>100</v>
      </c>
      <c r="C30" s="1" t="s">
        <v>340</v>
      </c>
      <c r="D30" s="1" t="s">
        <v>346</v>
      </c>
      <c r="E30" s="1" t="s">
        <v>151</v>
      </c>
      <c r="F30" s="1" t="s">
        <v>578</v>
      </c>
      <c r="G30" s="1" t="s">
        <v>346</v>
      </c>
    </row>
    <row r="31" spans="1:7" x14ac:dyDescent="0.25">
      <c r="A31" s="1" t="s">
        <v>81</v>
      </c>
      <c r="B31" s="1" t="s">
        <v>100</v>
      </c>
      <c r="C31" s="1" t="s">
        <v>340</v>
      </c>
      <c r="D31" s="1" t="s">
        <v>347</v>
      </c>
      <c r="E31" s="1" t="s">
        <v>155</v>
      </c>
      <c r="F31" s="1" t="s">
        <v>579</v>
      </c>
      <c r="G31" s="1" t="s">
        <v>347</v>
      </c>
    </row>
    <row r="32" spans="1:7" x14ac:dyDescent="0.25">
      <c r="A32" s="1" t="s">
        <v>85</v>
      </c>
      <c r="B32" s="1" t="s">
        <v>101</v>
      </c>
      <c r="C32" s="1" t="s">
        <v>348</v>
      </c>
      <c r="D32" s="1" t="s">
        <v>349</v>
      </c>
      <c r="E32" s="1" t="s">
        <v>162</v>
      </c>
      <c r="F32" s="1" t="s">
        <v>580</v>
      </c>
      <c r="G32" s="1" t="s">
        <v>349</v>
      </c>
    </row>
    <row r="33" spans="1:7" x14ac:dyDescent="0.25">
      <c r="A33" s="1" t="s">
        <v>85</v>
      </c>
      <c r="B33" s="1" t="s">
        <v>101</v>
      </c>
      <c r="C33" s="1" t="s">
        <v>348</v>
      </c>
      <c r="D33" s="1" t="s">
        <v>350</v>
      </c>
      <c r="E33" s="1" t="s">
        <v>158</v>
      </c>
      <c r="F33" s="1" t="s">
        <v>581</v>
      </c>
      <c r="G33" s="1" t="s">
        <v>350</v>
      </c>
    </row>
    <row r="34" spans="1:7" x14ac:dyDescent="0.25">
      <c r="A34" s="1" t="s">
        <v>85</v>
      </c>
      <c r="B34" s="1" t="s">
        <v>101</v>
      </c>
      <c r="C34" s="1" t="s">
        <v>348</v>
      </c>
      <c r="D34" s="1" t="s">
        <v>351</v>
      </c>
      <c r="E34" s="1" t="s">
        <v>159</v>
      </c>
      <c r="F34" s="1" t="s">
        <v>582</v>
      </c>
      <c r="G34" s="1" t="s">
        <v>351</v>
      </c>
    </row>
    <row r="35" spans="1:7" x14ac:dyDescent="0.25">
      <c r="A35" s="1" t="s">
        <v>85</v>
      </c>
      <c r="B35" s="1" t="s">
        <v>101</v>
      </c>
      <c r="C35" s="1" t="s">
        <v>348</v>
      </c>
      <c r="D35" s="1" t="s">
        <v>352</v>
      </c>
      <c r="E35" s="1" t="s">
        <v>163</v>
      </c>
      <c r="F35" s="1" t="s">
        <v>583</v>
      </c>
      <c r="G35" s="1" t="s">
        <v>352</v>
      </c>
    </row>
    <row r="36" spans="1:7" x14ac:dyDescent="0.25">
      <c r="A36" s="1" t="s">
        <v>85</v>
      </c>
      <c r="B36" s="1" t="s">
        <v>101</v>
      </c>
      <c r="C36" s="1" t="s">
        <v>348</v>
      </c>
      <c r="D36" s="1" t="s">
        <v>348</v>
      </c>
      <c r="E36" s="1" t="s">
        <v>101</v>
      </c>
      <c r="F36" s="1" t="s">
        <v>584</v>
      </c>
      <c r="G36" s="1" t="s">
        <v>348</v>
      </c>
    </row>
    <row r="37" spans="1:7" x14ac:dyDescent="0.25">
      <c r="A37" s="1" t="s">
        <v>85</v>
      </c>
      <c r="B37" s="1" t="s">
        <v>101</v>
      </c>
      <c r="C37" s="1" t="s">
        <v>348</v>
      </c>
      <c r="D37" s="1" t="s">
        <v>353</v>
      </c>
      <c r="E37" s="1" t="s">
        <v>161</v>
      </c>
      <c r="F37" s="1" t="s">
        <v>585</v>
      </c>
      <c r="G37" s="1" t="s">
        <v>353</v>
      </c>
    </row>
    <row r="38" spans="1:7" x14ac:dyDescent="0.25">
      <c r="A38" s="1" t="s">
        <v>85</v>
      </c>
      <c r="B38" s="1" t="s">
        <v>101</v>
      </c>
      <c r="C38" s="1" t="s">
        <v>348</v>
      </c>
      <c r="D38" s="1" t="s">
        <v>354</v>
      </c>
      <c r="E38" s="1" t="s">
        <v>160</v>
      </c>
      <c r="F38" s="1" t="s">
        <v>586</v>
      </c>
      <c r="G38" s="1" t="s">
        <v>354</v>
      </c>
    </row>
    <row r="39" spans="1:7" x14ac:dyDescent="0.25">
      <c r="A39" s="1" t="s">
        <v>85</v>
      </c>
      <c r="B39" s="1" t="s">
        <v>102</v>
      </c>
      <c r="C39" s="1" t="s">
        <v>355</v>
      </c>
      <c r="D39" s="1" t="s">
        <v>355</v>
      </c>
      <c r="E39" s="1" t="s">
        <v>102</v>
      </c>
      <c r="F39" s="1" t="s">
        <v>587</v>
      </c>
      <c r="G39" s="1" t="s">
        <v>355</v>
      </c>
    </row>
    <row r="40" spans="1:7" x14ac:dyDescent="0.25">
      <c r="A40" s="1" t="s">
        <v>85</v>
      </c>
      <c r="B40" s="1" t="s">
        <v>102</v>
      </c>
      <c r="C40" s="1" t="s">
        <v>355</v>
      </c>
      <c r="D40" s="1" t="s">
        <v>356</v>
      </c>
      <c r="E40" s="1" t="s">
        <v>164</v>
      </c>
      <c r="F40" s="1" t="s">
        <v>588</v>
      </c>
      <c r="G40" s="1" t="s">
        <v>356</v>
      </c>
    </row>
    <row r="41" spans="1:7" x14ac:dyDescent="0.25">
      <c r="A41" s="1" t="s">
        <v>85</v>
      </c>
      <c r="B41" s="1" t="s">
        <v>102</v>
      </c>
      <c r="C41" s="1" t="s">
        <v>355</v>
      </c>
      <c r="D41" s="1" t="s">
        <v>357</v>
      </c>
      <c r="E41" s="1" t="s">
        <v>169</v>
      </c>
      <c r="F41" s="1" t="s">
        <v>589</v>
      </c>
      <c r="G41" s="1" t="s">
        <v>357</v>
      </c>
    </row>
    <row r="42" spans="1:7" x14ac:dyDescent="0.25">
      <c r="A42" s="1" t="s">
        <v>85</v>
      </c>
      <c r="B42" s="1" t="s">
        <v>102</v>
      </c>
      <c r="C42" s="1" t="s">
        <v>355</v>
      </c>
      <c r="D42" s="1" t="s">
        <v>358</v>
      </c>
      <c r="E42" s="1" t="s">
        <v>175</v>
      </c>
      <c r="F42" s="1" t="s">
        <v>590</v>
      </c>
      <c r="G42" s="1" t="s">
        <v>358</v>
      </c>
    </row>
    <row r="43" spans="1:7" x14ac:dyDescent="0.25">
      <c r="A43" s="1" t="s">
        <v>85</v>
      </c>
      <c r="B43" s="1" t="s">
        <v>102</v>
      </c>
      <c r="C43" s="1" t="s">
        <v>355</v>
      </c>
      <c r="D43" s="1" t="s">
        <v>359</v>
      </c>
      <c r="E43" s="1" t="s">
        <v>170</v>
      </c>
      <c r="F43" s="1" t="s">
        <v>591</v>
      </c>
      <c r="G43" s="1" t="s">
        <v>359</v>
      </c>
    </row>
    <row r="44" spans="1:7" x14ac:dyDescent="0.25">
      <c r="A44" s="1" t="s">
        <v>85</v>
      </c>
      <c r="B44" s="1" t="s">
        <v>102</v>
      </c>
      <c r="C44" s="1" t="s">
        <v>355</v>
      </c>
      <c r="D44" s="1" t="s">
        <v>360</v>
      </c>
      <c r="E44" s="1" t="s">
        <v>176</v>
      </c>
      <c r="F44" s="1" t="s">
        <v>592</v>
      </c>
      <c r="G44" s="1" t="s">
        <v>360</v>
      </c>
    </row>
    <row r="45" spans="1:7" x14ac:dyDescent="0.25">
      <c r="A45" s="1" t="s">
        <v>85</v>
      </c>
      <c r="B45" s="1" t="s">
        <v>102</v>
      </c>
      <c r="C45" s="1" t="s">
        <v>355</v>
      </c>
      <c r="D45" s="1" t="s">
        <v>361</v>
      </c>
      <c r="E45" s="1" t="s">
        <v>172</v>
      </c>
      <c r="F45" s="1" t="s">
        <v>593</v>
      </c>
      <c r="G45" s="1" t="s">
        <v>361</v>
      </c>
    </row>
    <row r="46" spans="1:7" x14ac:dyDescent="0.25">
      <c r="A46" s="1" t="s">
        <v>85</v>
      </c>
      <c r="B46" s="1" t="s">
        <v>102</v>
      </c>
      <c r="C46" s="1" t="s">
        <v>355</v>
      </c>
      <c r="D46" s="1" t="s">
        <v>362</v>
      </c>
      <c r="E46" s="1" t="s">
        <v>157</v>
      </c>
      <c r="F46" s="1" t="s">
        <v>594</v>
      </c>
      <c r="G46" s="1" t="s">
        <v>362</v>
      </c>
    </row>
    <row r="47" spans="1:7" x14ac:dyDescent="0.25">
      <c r="A47" s="1" t="s">
        <v>85</v>
      </c>
      <c r="B47" s="1" t="s">
        <v>102</v>
      </c>
      <c r="C47" s="1" t="s">
        <v>355</v>
      </c>
      <c r="D47" s="1" t="s">
        <v>363</v>
      </c>
      <c r="E47" s="1" t="s">
        <v>165</v>
      </c>
      <c r="F47" s="1" t="s">
        <v>595</v>
      </c>
      <c r="G47" s="1" t="s">
        <v>363</v>
      </c>
    </row>
    <row r="48" spans="1:7" x14ac:dyDescent="0.25">
      <c r="A48" s="1" t="s">
        <v>85</v>
      </c>
      <c r="B48" s="1" t="s">
        <v>102</v>
      </c>
      <c r="C48" s="1" t="s">
        <v>355</v>
      </c>
      <c r="D48" s="1" t="s">
        <v>364</v>
      </c>
      <c r="E48" s="1" t="s">
        <v>174</v>
      </c>
      <c r="F48" s="1" t="s">
        <v>596</v>
      </c>
      <c r="G48" s="1" t="s">
        <v>364</v>
      </c>
    </row>
    <row r="49" spans="1:7" x14ac:dyDescent="0.25">
      <c r="A49" s="1" t="s">
        <v>85</v>
      </c>
      <c r="B49" s="1" t="s">
        <v>102</v>
      </c>
      <c r="C49" s="1" t="s">
        <v>355</v>
      </c>
      <c r="D49" s="1" t="s">
        <v>365</v>
      </c>
      <c r="E49" s="1" t="s">
        <v>171</v>
      </c>
      <c r="F49" s="1" t="s">
        <v>597</v>
      </c>
      <c r="G49" s="1" t="s">
        <v>365</v>
      </c>
    </row>
    <row r="50" spans="1:7" x14ac:dyDescent="0.25">
      <c r="A50" s="1" t="s">
        <v>85</v>
      </c>
      <c r="B50" s="1" t="s">
        <v>102</v>
      </c>
      <c r="C50" s="1" t="s">
        <v>355</v>
      </c>
      <c r="D50" s="1" t="s">
        <v>366</v>
      </c>
      <c r="E50" s="1" t="s">
        <v>173</v>
      </c>
      <c r="F50" s="1" t="s">
        <v>598</v>
      </c>
      <c r="G50" s="1" t="s">
        <v>366</v>
      </c>
    </row>
    <row r="51" spans="1:7" x14ac:dyDescent="0.25">
      <c r="A51" s="1" t="s">
        <v>85</v>
      </c>
      <c r="B51" s="1" t="s">
        <v>102</v>
      </c>
      <c r="C51" s="1" t="s">
        <v>355</v>
      </c>
      <c r="D51" s="1" t="s">
        <v>367</v>
      </c>
      <c r="E51" s="1" t="s">
        <v>166</v>
      </c>
      <c r="F51" s="1" t="s">
        <v>599</v>
      </c>
      <c r="G51" s="1" t="s">
        <v>367</v>
      </c>
    </row>
    <row r="52" spans="1:7" x14ac:dyDescent="0.25">
      <c r="A52" s="1" t="s">
        <v>85</v>
      </c>
      <c r="B52" s="1" t="s">
        <v>102</v>
      </c>
      <c r="C52" s="1" t="s">
        <v>355</v>
      </c>
      <c r="D52" s="1" t="s">
        <v>368</v>
      </c>
      <c r="E52" s="1" t="s">
        <v>167</v>
      </c>
      <c r="F52" s="1" t="s">
        <v>600</v>
      </c>
      <c r="G52" s="1" t="s">
        <v>368</v>
      </c>
    </row>
    <row r="53" spans="1:7" x14ac:dyDescent="0.25">
      <c r="A53" s="1" t="s">
        <v>85</v>
      </c>
      <c r="B53" s="1" t="s">
        <v>102</v>
      </c>
      <c r="C53" s="1" t="s">
        <v>355</v>
      </c>
      <c r="D53" s="1" t="s">
        <v>369</v>
      </c>
      <c r="E53" s="1" t="s">
        <v>168</v>
      </c>
      <c r="F53" s="1" t="s">
        <v>601</v>
      </c>
      <c r="G53" s="1" t="s">
        <v>369</v>
      </c>
    </row>
    <row r="54" spans="1:7" x14ac:dyDescent="0.25">
      <c r="A54" s="1" t="s">
        <v>86</v>
      </c>
      <c r="B54" s="1" t="s">
        <v>103</v>
      </c>
      <c r="C54" s="1" t="s">
        <v>370</v>
      </c>
      <c r="D54" s="1" t="s">
        <v>371</v>
      </c>
      <c r="E54" s="1" t="s">
        <v>179</v>
      </c>
      <c r="F54" s="1" t="s">
        <v>602</v>
      </c>
      <c r="G54" s="1" t="s">
        <v>371</v>
      </c>
    </row>
    <row r="55" spans="1:7" x14ac:dyDescent="0.25">
      <c r="A55" s="1" t="s">
        <v>86</v>
      </c>
      <c r="B55" s="1" t="s">
        <v>103</v>
      </c>
      <c r="C55" s="1" t="s">
        <v>370</v>
      </c>
      <c r="D55" s="1" t="s">
        <v>370</v>
      </c>
      <c r="E55" s="1" t="s">
        <v>108</v>
      </c>
      <c r="F55" s="1" t="s">
        <v>603</v>
      </c>
      <c r="G55" s="1" t="s">
        <v>370</v>
      </c>
    </row>
    <row r="56" spans="1:7" x14ac:dyDescent="0.25">
      <c r="A56" s="1" t="s">
        <v>86</v>
      </c>
      <c r="B56" s="1" t="s">
        <v>103</v>
      </c>
      <c r="C56" s="1" t="s">
        <v>370</v>
      </c>
      <c r="D56" s="1" t="s">
        <v>372</v>
      </c>
      <c r="E56" s="1" t="s">
        <v>177</v>
      </c>
      <c r="F56" s="1" t="s">
        <v>604</v>
      </c>
      <c r="G56" s="1" t="s">
        <v>372</v>
      </c>
    </row>
    <row r="57" spans="1:7" x14ac:dyDescent="0.25">
      <c r="A57" s="1" t="s">
        <v>86</v>
      </c>
      <c r="B57" s="1" t="s">
        <v>103</v>
      </c>
      <c r="C57" s="1" t="s">
        <v>370</v>
      </c>
      <c r="D57" s="1" t="s">
        <v>373</v>
      </c>
      <c r="E57" s="1" t="s">
        <v>178</v>
      </c>
      <c r="F57" s="1" t="s">
        <v>605</v>
      </c>
      <c r="G57" s="1" t="s">
        <v>373</v>
      </c>
    </row>
    <row r="58" spans="1:7" x14ac:dyDescent="0.25">
      <c r="A58" s="1" t="s">
        <v>87</v>
      </c>
      <c r="B58" s="1" t="s">
        <v>104</v>
      </c>
      <c r="C58" s="1" t="s">
        <v>374</v>
      </c>
      <c r="D58" s="1" t="s">
        <v>375</v>
      </c>
      <c r="E58" s="1" t="s">
        <v>180</v>
      </c>
      <c r="F58" s="1" t="s">
        <v>606</v>
      </c>
      <c r="G58" s="1" t="s">
        <v>375</v>
      </c>
    </row>
    <row r="59" spans="1:7" x14ac:dyDescent="0.25">
      <c r="A59" s="1" t="s">
        <v>87</v>
      </c>
      <c r="B59" s="1" t="s">
        <v>104</v>
      </c>
      <c r="C59" s="1" t="s">
        <v>374</v>
      </c>
      <c r="D59" s="1" t="s">
        <v>376</v>
      </c>
      <c r="E59" s="1" t="s">
        <v>186</v>
      </c>
      <c r="F59" s="1" t="s">
        <v>607</v>
      </c>
      <c r="G59" s="1" t="s">
        <v>376</v>
      </c>
    </row>
    <row r="60" spans="1:7" x14ac:dyDescent="0.25">
      <c r="A60" s="1" t="s">
        <v>87</v>
      </c>
      <c r="B60" s="1" t="s">
        <v>104</v>
      </c>
      <c r="C60" s="1" t="s">
        <v>374</v>
      </c>
      <c r="D60" s="1" t="s">
        <v>377</v>
      </c>
      <c r="E60" s="1" t="s">
        <v>188</v>
      </c>
      <c r="F60" s="1" t="s">
        <v>608</v>
      </c>
      <c r="G60" s="1" t="s">
        <v>377</v>
      </c>
    </row>
    <row r="61" spans="1:7" x14ac:dyDescent="0.25">
      <c r="A61" s="1" t="s">
        <v>87</v>
      </c>
      <c r="B61" s="1" t="s">
        <v>104</v>
      </c>
      <c r="C61" s="1" t="s">
        <v>374</v>
      </c>
      <c r="D61" s="1" t="s">
        <v>378</v>
      </c>
      <c r="E61" s="1" t="s">
        <v>185</v>
      </c>
      <c r="F61" s="1" t="s">
        <v>609</v>
      </c>
      <c r="G61" s="1" t="s">
        <v>378</v>
      </c>
    </row>
    <row r="62" spans="1:7" x14ac:dyDescent="0.25">
      <c r="A62" s="1" t="s">
        <v>87</v>
      </c>
      <c r="B62" s="1" t="s">
        <v>104</v>
      </c>
      <c r="C62" s="1" t="s">
        <v>374</v>
      </c>
      <c r="D62" s="1" t="s">
        <v>379</v>
      </c>
      <c r="E62" s="1" t="s">
        <v>183</v>
      </c>
      <c r="F62" s="1" t="s">
        <v>610</v>
      </c>
      <c r="G62" s="1" t="s">
        <v>379</v>
      </c>
    </row>
    <row r="63" spans="1:7" x14ac:dyDescent="0.25">
      <c r="A63" s="1" t="s">
        <v>87</v>
      </c>
      <c r="B63" s="1" t="s">
        <v>104</v>
      </c>
      <c r="C63" s="1" t="s">
        <v>374</v>
      </c>
      <c r="D63" s="1" t="s">
        <v>380</v>
      </c>
      <c r="E63" s="1" t="s">
        <v>181</v>
      </c>
      <c r="F63" s="1" t="s">
        <v>611</v>
      </c>
      <c r="G63" s="1" t="s">
        <v>380</v>
      </c>
    </row>
    <row r="64" spans="1:7" x14ac:dyDescent="0.25">
      <c r="A64" s="1" t="s">
        <v>87</v>
      </c>
      <c r="B64" s="1" t="s">
        <v>104</v>
      </c>
      <c r="C64" s="1" t="s">
        <v>374</v>
      </c>
      <c r="D64" s="1" t="s">
        <v>381</v>
      </c>
      <c r="E64" s="1" t="s">
        <v>184</v>
      </c>
      <c r="F64" s="1" t="s">
        <v>612</v>
      </c>
      <c r="G64" s="1" t="s">
        <v>381</v>
      </c>
    </row>
    <row r="65" spans="1:7" x14ac:dyDescent="0.25">
      <c r="A65" s="1" t="s">
        <v>87</v>
      </c>
      <c r="B65" s="1" t="s">
        <v>104</v>
      </c>
      <c r="C65" s="1" t="s">
        <v>374</v>
      </c>
      <c r="D65" s="1" t="s">
        <v>382</v>
      </c>
      <c r="E65" s="1" t="s">
        <v>187</v>
      </c>
      <c r="F65" s="1" t="s">
        <v>613</v>
      </c>
      <c r="G65" s="1" t="s">
        <v>382</v>
      </c>
    </row>
    <row r="66" spans="1:7" x14ac:dyDescent="0.25">
      <c r="A66" s="1" t="s">
        <v>87</v>
      </c>
      <c r="B66" s="1" t="s">
        <v>104</v>
      </c>
      <c r="C66" s="1" t="s">
        <v>374</v>
      </c>
      <c r="D66" s="1" t="s">
        <v>383</v>
      </c>
      <c r="E66" s="1" t="s">
        <v>182</v>
      </c>
      <c r="F66" s="1" t="s">
        <v>614</v>
      </c>
      <c r="G66" s="1" t="s">
        <v>383</v>
      </c>
    </row>
    <row r="67" spans="1:7" x14ac:dyDescent="0.25">
      <c r="A67" s="1" t="s">
        <v>88</v>
      </c>
      <c r="B67" s="1" t="s">
        <v>105</v>
      </c>
      <c r="C67" s="1" t="s">
        <v>384</v>
      </c>
      <c r="D67" s="1" t="s">
        <v>385</v>
      </c>
      <c r="E67" s="1" t="s">
        <v>192</v>
      </c>
      <c r="F67" s="1" t="s">
        <v>615</v>
      </c>
      <c r="G67" s="1" t="s">
        <v>385</v>
      </c>
    </row>
    <row r="68" spans="1:7" x14ac:dyDescent="0.25">
      <c r="A68" s="1" t="s">
        <v>88</v>
      </c>
      <c r="B68" s="1" t="s">
        <v>105</v>
      </c>
      <c r="C68" s="1" t="s">
        <v>384</v>
      </c>
      <c r="D68" s="1" t="s">
        <v>386</v>
      </c>
      <c r="E68" s="1" t="s">
        <v>190</v>
      </c>
      <c r="F68" s="1" t="s">
        <v>616</v>
      </c>
      <c r="G68" s="1" t="s">
        <v>386</v>
      </c>
    </row>
    <row r="69" spans="1:7" x14ac:dyDescent="0.25">
      <c r="A69" s="1" t="s">
        <v>88</v>
      </c>
      <c r="B69" s="1" t="s">
        <v>105</v>
      </c>
      <c r="C69" s="1" t="s">
        <v>384</v>
      </c>
      <c r="D69" s="1" t="s">
        <v>387</v>
      </c>
      <c r="E69" s="1" t="s">
        <v>191</v>
      </c>
      <c r="F69" s="1" t="s">
        <v>617</v>
      </c>
      <c r="G69" s="1" t="s">
        <v>387</v>
      </c>
    </row>
    <row r="70" spans="1:7" x14ac:dyDescent="0.25">
      <c r="A70" s="1" t="s">
        <v>88</v>
      </c>
      <c r="B70" s="1" t="s">
        <v>105</v>
      </c>
      <c r="C70" s="1" t="s">
        <v>384</v>
      </c>
      <c r="D70" s="1" t="s">
        <v>388</v>
      </c>
      <c r="E70" s="1" t="s">
        <v>193</v>
      </c>
      <c r="F70" s="1" t="s">
        <v>618</v>
      </c>
      <c r="G70" s="1" t="s">
        <v>388</v>
      </c>
    </row>
    <row r="71" spans="1:7" x14ac:dyDescent="0.25">
      <c r="A71" s="1" t="s">
        <v>88</v>
      </c>
      <c r="B71" s="1" t="s">
        <v>105</v>
      </c>
      <c r="C71" s="1" t="s">
        <v>384</v>
      </c>
      <c r="D71" s="1" t="s">
        <v>384</v>
      </c>
      <c r="E71" s="1" t="s">
        <v>189</v>
      </c>
      <c r="F71" s="1" t="s">
        <v>619</v>
      </c>
      <c r="G71" s="1" t="s">
        <v>384</v>
      </c>
    </row>
    <row r="72" spans="1:7" x14ac:dyDescent="0.25">
      <c r="A72" s="1" t="s">
        <v>88</v>
      </c>
      <c r="B72" s="1" t="s">
        <v>106</v>
      </c>
      <c r="C72" s="1" t="s">
        <v>389</v>
      </c>
      <c r="D72" s="1" t="s">
        <v>390</v>
      </c>
      <c r="E72" s="1" t="s">
        <v>194</v>
      </c>
      <c r="F72" s="1" t="s">
        <v>620</v>
      </c>
      <c r="G72" s="1" t="s">
        <v>390</v>
      </c>
    </row>
    <row r="73" spans="1:7" x14ac:dyDescent="0.25">
      <c r="A73" s="1" t="s">
        <v>88</v>
      </c>
      <c r="B73" s="1" t="s">
        <v>106</v>
      </c>
      <c r="C73" s="1" t="s">
        <v>389</v>
      </c>
      <c r="D73" s="1" t="s">
        <v>391</v>
      </c>
      <c r="E73" s="1" t="s">
        <v>195</v>
      </c>
      <c r="F73" s="1" t="s">
        <v>621</v>
      </c>
      <c r="G73" s="1" t="s">
        <v>391</v>
      </c>
    </row>
    <row r="74" spans="1:7" x14ac:dyDescent="0.25">
      <c r="A74" s="1" t="s">
        <v>88</v>
      </c>
      <c r="B74" s="1" t="s">
        <v>106</v>
      </c>
      <c r="C74" s="1" t="s">
        <v>389</v>
      </c>
      <c r="D74" s="1" t="s">
        <v>389</v>
      </c>
      <c r="E74" s="1" t="s">
        <v>106</v>
      </c>
      <c r="F74" s="1" t="s">
        <v>622</v>
      </c>
      <c r="G74" s="1" t="s">
        <v>389</v>
      </c>
    </row>
    <row r="75" spans="1:7" x14ac:dyDescent="0.25">
      <c r="A75" s="1" t="s">
        <v>88</v>
      </c>
      <c r="B75" s="1" t="s">
        <v>106</v>
      </c>
      <c r="C75" s="1" t="s">
        <v>389</v>
      </c>
      <c r="D75" s="1" t="s">
        <v>392</v>
      </c>
      <c r="E75" s="1" t="s">
        <v>196</v>
      </c>
      <c r="F75" s="1" t="s">
        <v>623</v>
      </c>
      <c r="G75" s="1" t="s">
        <v>392</v>
      </c>
    </row>
    <row r="76" spans="1:7" x14ac:dyDescent="0.25">
      <c r="A76" s="1" t="s">
        <v>88</v>
      </c>
      <c r="B76" s="1" t="s">
        <v>106</v>
      </c>
      <c r="C76" s="1" t="s">
        <v>389</v>
      </c>
      <c r="D76" s="1" t="s">
        <v>393</v>
      </c>
      <c r="E76" s="1" t="s">
        <v>198</v>
      </c>
      <c r="F76" s="1" t="s">
        <v>624</v>
      </c>
      <c r="G76" s="1" t="s">
        <v>393</v>
      </c>
    </row>
    <row r="77" spans="1:7" x14ac:dyDescent="0.25">
      <c r="A77" s="1" t="s">
        <v>88</v>
      </c>
      <c r="B77" s="1" t="s">
        <v>106</v>
      </c>
      <c r="C77" s="1" t="s">
        <v>389</v>
      </c>
      <c r="D77" s="1" t="s">
        <v>394</v>
      </c>
      <c r="E77" s="1" t="s">
        <v>197</v>
      </c>
      <c r="F77" s="1" t="s">
        <v>625</v>
      </c>
      <c r="G77" s="1" t="s">
        <v>394</v>
      </c>
    </row>
    <row r="78" spans="1:7" x14ac:dyDescent="0.25">
      <c r="A78" s="1" t="s">
        <v>88</v>
      </c>
      <c r="B78" s="1" t="s">
        <v>106</v>
      </c>
      <c r="C78" s="1" t="s">
        <v>389</v>
      </c>
      <c r="D78" s="1" t="s">
        <v>395</v>
      </c>
      <c r="E78" s="1" t="s">
        <v>199</v>
      </c>
      <c r="F78" s="1" t="s">
        <v>626</v>
      </c>
      <c r="G78" s="1" t="s">
        <v>395</v>
      </c>
    </row>
    <row r="79" spans="1:7" x14ac:dyDescent="0.25">
      <c r="A79" s="1" t="s">
        <v>89</v>
      </c>
      <c r="B79" s="1" t="s">
        <v>107</v>
      </c>
      <c r="C79" s="1" t="s">
        <v>396</v>
      </c>
      <c r="D79" s="1" t="s">
        <v>397</v>
      </c>
      <c r="E79" s="1" t="s">
        <v>202</v>
      </c>
      <c r="F79" s="1" t="s">
        <v>627</v>
      </c>
      <c r="G79" s="1" t="s">
        <v>397</v>
      </c>
    </row>
    <row r="80" spans="1:7" x14ac:dyDescent="0.25">
      <c r="A80" s="1" t="s">
        <v>89</v>
      </c>
      <c r="B80" s="1" t="s">
        <v>107</v>
      </c>
      <c r="C80" s="1" t="s">
        <v>396</v>
      </c>
      <c r="D80" s="1" t="s">
        <v>398</v>
      </c>
      <c r="E80" s="1" t="s">
        <v>200</v>
      </c>
      <c r="F80" s="1" t="s">
        <v>628</v>
      </c>
      <c r="G80" s="1" t="s">
        <v>398</v>
      </c>
    </row>
    <row r="81" spans="1:7" x14ac:dyDescent="0.25">
      <c r="A81" s="1" t="s">
        <v>89</v>
      </c>
      <c r="B81" s="1" t="s">
        <v>107</v>
      </c>
      <c r="C81" s="1" t="s">
        <v>396</v>
      </c>
      <c r="D81" s="1" t="s">
        <v>399</v>
      </c>
      <c r="E81" s="1" t="s">
        <v>204</v>
      </c>
      <c r="F81" s="1" t="s">
        <v>629</v>
      </c>
      <c r="G81" s="1" t="s">
        <v>399</v>
      </c>
    </row>
    <row r="82" spans="1:7" x14ac:dyDescent="0.25">
      <c r="A82" s="1" t="s">
        <v>89</v>
      </c>
      <c r="B82" s="1" t="s">
        <v>107</v>
      </c>
      <c r="C82" s="1" t="s">
        <v>396</v>
      </c>
      <c r="D82" s="1" t="s">
        <v>400</v>
      </c>
      <c r="E82" s="1" t="s">
        <v>203</v>
      </c>
      <c r="F82" s="1" t="s">
        <v>630</v>
      </c>
      <c r="G82" s="1" t="s">
        <v>400</v>
      </c>
    </row>
    <row r="83" spans="1:7" x14ac:dyDescent="0.25">
      <c r="A83" s="1" t="s">
        <v>89</v>
      </c>
      <c r="B83" s="1" t="s">
        <v>107</v>
      </c>
      <c r="C83" s="1" t="s">
        <v>396</v>
      </c>
      <c r="D83" s="1" t="s">
        <v>396</v>
      </c>
      <c r="E83" s="1" t="s">
        <v>107</v>
      </c>
      <c r="F83" s="1" t="s">
        <v>631</v>
      </c>
      <c r="G83" s="1" t="s">
        <v>396</v>
      </c>
    </row>
    <row r="84" spans="1:7" x14ac:dyDescent="0.25">
      <c r="A84" s="1" t="s">
        <v>89</v>
      </c>
      <c r="B84" s="1" t="s">
        <v>107</v>
      </c>
      <c r="C84" s="1" t="s">
        <v>396</v>
      </c>
      <c r="D84" s="1" t="s">
        <v>401</v>
      </c>
      <c r="E84" s="1" t="s">
        <v>205</v>
      </c>
      <c r="F84" s="1" t="s">
        <v>632</v>
      </c>
      <c r="G84" s="1" t="s">
        <v>401</v>
      </c>
    </row>
    <row r="85" spans="1:7" x14ac:dyDescent="0.25">
      <c r="A85" s="1" t="s">
        <v>89</v>
      </c>
      <c r="B85" s="1" t="s">
        <v>107</v>
      </c>
      <c r="C85" s="1" t="s">
        <v>396</v>
      </c>
      <c r="D85" s="1" t="s">
        <v>402</v>
      </c>
      <c r="E85" s="1" t="s">
        <v>201</v>
      </c>
      <c r="F85" s="1" t="s">
        <v>633</v>
      </c>
      <c r="G85" s="1" t="s">
        <v>402</v>
      </c>
    </row>
    <row r="86" spans="1:7" x14ac:dyDescent="0.25">
      <c r="A86" s="1" t="s">
        <v>90</v>
      </c>
      <c r="B86" s="1" t="s">
        <v>108</v>
      </c>
      <c r="C86" s="1" t="s">
        <v>403</v>
      </c>
      <c r="D86" s="1" t="s">
        <v>403</v>
      </c>
      <c r="E86" s="1" t="s">
        <v>108</v>
      </c>
      <c r="F86" s="1" t="s">
        <v>634</v>
      </c>
      <c r="G86" s="1" t="s">
        <v>403</v>
      </c>
    </row>
    <row r="87" spans="1:7" x14ac:dyDescent="0.25">
      <c r="A87" s="1" t="s">
        <v>90</v>
      </c>
      <c r="B87" s="1" t="s">
        <v>108</v>
      </c>
      <c r="C87" s="1" t="s">
        <v>403</v>
      </c>
      <c r="D87" s="1" t="s">
        <v>404</v>
      </c>
      <c r="E87" s="1" t="s">
        <v>206</v>
      </c>
      <c r="F87" s="1" t="s">
        <v>635</v>
      </c>
      <c r="G87" s="1" t="s">
        <v>404</v>
      </c>
    </row>
    <row r="88" spans="1:7" x14ac:dyDescent="0.25">
      <c r="A88" s="1" t="s">
        <v>90</v>
      </c>
      <c r="B88" s="1" t="s">
        <v>108</v>
      </c>
      <c r="C88" s="1" t="s">
        <v>403</v>
      </c>
      <c r="D88" s="1" t="s">
        <v>405</v>
      </c>
      <c r="E88" s="1" t="s">
        <v>209</v>
      </c>
      <c r="F88" s="1" t="s">
        <v>636</v>
      </c>
      <c r="G88" s="1" t="s">
        <v>405</v>
      </c>
    </row>
    <row r="89" spans="1:7" x14ac:dyDescent="0.25">
      <c r="A89" s="1" t="s">
        <v>90</v>
      </c>
      <c r="B89" s="1" t="s">
        <v>108</v>
      </c>
      <c r="C89" s="1" t="s">
        <v>403</v>
      </c>
      <c r="D89" s="1" t="s">
        <v>406</v>
      </c>
      <c r="E89" s="1" t="s">
        <v>201</v>
      </c>
      <c r="F89" s="1" t="s">
        <v>637</v>
      </c>
      <c r="G89" s="1" t="s">
        <v>406</v>
      </c>
    </row>
    <row r="90" spans="1:7" x14ac:dyDescent="0.25">
      <c r="A90" s="1" t="s">
        <v>90</v>
      </c>
      <c r="B90" s="1" t="s">
        <v>108</v>
      </c>
      <c r="C90" s="1" t="s">
        <v>403</v>
      </c>
      <c r="D90" s="1" t="s">
        <v>407</v>
      </c>
      <c r="E90" s="1" t="s">
        <v>207</v>
      </c>
      <c r="F90" s="1" t="s">
        <v>638</v>
      </c>
      <c r="G90" s="1" t="s">
        <v>407</v>
      </c>
    </row>
    <row r="91" spans="1:7" x14ac:dyDescent="0.25">
      <c r="A91" s="1" t="s">
        <v>90</v>
      </c>
      <c r="B91" s="1" t="s">
        <v>108</v>
      </c>
      <c r="C91" s="1" t="s">
        <v>403</v>
      </c>
      <c r="D91" s="1" t="s">
        <v>408</v>
      </c>
      <c r="E91" s="1" t="s">
        <v>208</v>
      </c>
      <c r="F91" s="1" t="s">
        <v>639</v>
      </c>
      <c r="G91" s="1" t="s">
        <v>408</v>
      </c>
    </row>
    <row r="92" spans="1:7" x14ac:dyDescent="0.25">
      <c r="A92" s="1" t="s">
        <v>91</v>
      </c>
      <c r="B92" s="1" t="s">
        <v>109</v>
      </c>
      <c r="C92" s="1" t="s">
        <v>409</v>
      </c>
      <c r="D92" s="1" t="s">
        <v>410</v>
      </c>
      <c r="E92" s="1" t="s">
        <v>223</v>
      </c>
      <c r="F92" s="1" t="s">
        <v>640</v>
      </c>
      <c r="G92" s="1" t="s">
        <v>410</v>
      </c>
    </row>
    <row r="93" spans="1:7" x14ac:dyDescent="0.25">
      <c r="A93" s="1" t="s">
        <v>91</v>
      </c>
      <c r="B93" s="1" t="s">
        <v>109</v>
      </c>
      <c r="C93" s="1" t="s">
        <v>409</v>
      </c>
      <c r="D93" s="1" t="s">
        <v>411</v>
      </c>
      <c r="E93" s="1" t="s">
        <v>156</v>
      </c>
      <c r="F93" s="1" t="s">
        <v>641</v>
      </c>
      <c r="G93" s="1" t="s">
        <v>411</v>
      </c>
    </row>
    <row r="94" spans="1:7" x14ac:dyDescent="0.25">
      <c r="A94" s="1" t="s">
        <v>91</v>
      </c>
      <c r="B94" s="1" t="s">
        <v>109</v>
      </c>
      <c r="C94" s="1" t="s">
        <v>409</v>
      </c>
      <c r="D94" s="1" t="s">
        <v>409</v>
      </c>
      <c r="E94" s="1" t="s">
        <v>109</v>
      </c>
      <c r="F94" s="1" t="s">
        <v>642</v>
      </c>
      <c r="G94" s="1" t="s">
        <v>409</v>
      </c>
    </row>
    <row r="95" spans="1:7" x14ac:dyDescent="0.25">
      <c r="A95" s="1" t="s">
        <v>91</v>
      </c>
      <c r="B95" s="1" t="s">
        <v>109</v>
      </c>
      <c r="C95" s="1" t="s">
        <v>409</v>
      </c>
      <c r="D95" s="1" t="s">
        <v>412</v>
      </c>
      <c r="E95" s="1" t="s">
        <v>218</v>
      </c>
      <c r="F95" s="1" t="s">
        <v>643</v>
      </c>
      <c r="G95" s="1" t="s">
        <v>412</v>
      </c>
    </row>
    <row r="96" spans="1:7" x14ac:dyDescent="0.25">
      <c r="A96" s="1" t="s">
        <v>91</v>
      </c>
      <c r="B96" s="1" t="s">
        <v>109</v>
      </c>
      <c r="C96" s="1" t="s">
        <v>409</v>
      </c>
      <c r="D96" s="1" t="s">
        <v>413</v>
      </c>
      <c r="E96" s="1" t="s">
        <v>216</v>
      </c>
      <c r="F96" s="1" t="s">
        <v>644</v>
      </c>
      <c r="G96" s="1" t="s">
        <v>413</v>
      </c>
    </row>
    <row r="97" spans="1:7" x14ac:dyDescent="0.25">
      <c r="A97" s="1" t="s">
        <v>91</v>
      </c>
      <c r="B97" s="1" t="s">
        <v>109</v>
      </c>
      <c r="C97" s="1" t="s">
        <v>409</v>
      </c>
      <c r="D97" s="1" t="s">
        <v>414</v>
      </c>
      <c r="E97" s="1" t="s">
        <v>221</v>
      </c>
      <c r="F97" s="1" t="s">
        <v>645</v>
      </c>
      <c r="G97" s="1" t="s">
        <v>414</v>
      </c>
    </row>
    <row r="98" spans="1:7" x14ac:dyDescent="0.25">
      <c r="A98" s="1" t="s">
        <v>91</v>
      </c>
      <c r="B98" s="1" t="s">
        <v>109</v>
      </c>
      <c r="C98" s="1" t="s">
        <v>409</v>
      </c>
      <c r="D98" s="1" t="s">
        <v>415</v>
      </c>
      <c r="E98" s="1" t="s">
        <v>173</v>
      </c>
      <c r="F98" s="1" t="s">
        <v>646</v>
      </c>
      <c r="G98" s="1" t="s">
        <v>415</v>
      </c>
    </row>
    <row r="99" spans="1:7" x14ac:dyDescent="0.25">
      <c r="A99" s="1" t="s">
        <v>91</v>
      </c>
      <c r="B99" s="1" t="s">
        <v>109</v>
      </c>
      <c r="C99" s="1" t="s">
        <v>409</v>
      </c>
      <c r="D99" s="1" t="s">
        <v>416</v>
      </c>
      <c r="E99" s="1" t="s">
        <v>222</v>
      </c>
      <c r="F99" s="1" t="s">
        <v>647</v>
      </c>
      <c r="G99" s="1" t="s">
        <v>416</v>
      </c>
    </row>
    <row r="100" spans="1:7" x14ac:dyDescent="0.25">
      <c r="A100" s="1" t="s">
        <v>91</v>
      </c>
      <c r="B100" s="1" t="s">
        <v>109</v>
      </c>
      <c r="C100" s="1" t="s">
        <v>409</v>
      </c>
      <c r="D100" s="1" t="s">
        <v>417</v>
      </c>
      <c r="E100" s="1" t="s">
        <v>210</v>
      </c>
      <c r="F100" s="1" t="s">
        <v>648</v>
      </c>
      <c r="G100" s="1" t="s">
        <v>417</v>
      </c>
    </row>
    <row r="101" spans="1:7" x14ac:dyDescent="0.25">
      <c r="A101" s="1" t="s">
        <v>91</v>
      </c>
      <c r="B101" s="1" t="s">
        <v>109</v>
      </c>
      <c r="C101" s="1" t="s">
        <v>409</v>
      </c>
      <c r="D101" s="1" t="s">
        <v>418</v>
      </c>
      <c r="E101" s="1" t="s">
        <v>220</v>
      </c>
      <c r="F101" s="1" t="s">
        <v>649</v>
      </c>
      <c r="G101" s="1" t="s">
        <v>418</v>
      </c>
    </row>
    <row r="102" spans="1:7" x14ac:dyDescent="0.25">
      <c r="A102" s="1" t="s">
        <v>91</v>
      </c>
      <c r="B102" s="1" t="s">
        <v>109</v>
      </c>
      <c r="C102" s="1" t="s">
        <v>409</v>
      </c>
      <c r="D102" s="1" t="s">
        <v>419</v>
      </c>
      <c r="E102" s="1" t="s">
        <v>212</v>
      </c>
      <c r="F102" s="1" t="s">
        <v>650</v>
      </c>
      <c r="G102" s="1" t="s">
        <v>419</v>
      </c>
    </row>
    <row r="103" spans="1:7" x14ac:dyDescent="0.25">
      <c r="A103" s="1" t="s">
        <v>91</v>
      </c>
      <c r="B103" s="1" t="s">
        <v>109</v>
      </c>
      <c r="C103" s="1" t="s">
        <v>409</v>
      </c>
      <c r="D103" s="1" t="s">
        <v>420</v>
      </c>
      <c r="E103" s="1" t="s">
        <v>215</v>
      </c>
      <c r="F103" s="1" t="s">
        <v>651</v>
      </c>
      <c r="G103" s="1" t="s">
        <v>420</v>
      </c>
    </row>
    <row r="104" spans="1:7" x14ac:dyDescent="0.25">
      <c r="A104" s="1" t="s">
        <v>91</v>
      </c>
      <c r="B104" s="1" t="s">
        <v>109</v>
      </c>
      <c r="C104" s="1" t="s">
        <v>409</v>
      </c>
      <c r="D104" s="1" t="s">
        <v>421</v>
      </c>
      <c r="E104" s="1" t="s">
        <v>217</v>
      </c>
      <c r="F104" s="1" t="s">
        <v>652</v>
      </c>
      <c r="G104" s="1" t="s">
        <v>421</v>
      </c>
    </row>
    <row r="105" spans="1:7" x14ac:dyDescent="0.25">
      <c r="A105" s="1" t="s">
        <v>91</v>
      </c>
      <c r="B105" s="1" t="s">
        <v>109</v>
      </c>
      <c r="C105" s="1" t="s">
        <v>409</v>
      </c>
      <c r="D105" s="1" t="s">
        <v>422</v>
      </c>
      <c r="E105" s="1" t="s">
        <v>213</v>
      </c>
      <c r="F105" s="1" t="s">
        <v>653</v>
      </c>
      <c r="G105" s="1" t="s">
        <v>422</v>
      </c>
    </row>
    <row r="106" spans="1:7" x14ac:dyDescent="0.25">
      <c r="A106" s="1" t="s">
        <v>91</v>
      </c>
      <c r="B106" s="1" t="s">
        <v>109</v>
      </c>
      <c r="C106" s="1" t="s">
        <v>409</v>
      </c>
      <c r="D106" s="1" t="s">
        <v>423</v>
      </c>
      <c r="E106" s="1" t="s">
        <v>211</v>
      </c>
      <c r="F106" s="1" t="s">
        <v>654</v>
      </c>
      <c r="G106" s="1" t="s">
        <v>423</v>
      </c>
    </row>
    <row r="107" spans="1:7" x14ac:dyDescent="0.25">
      <c r="A107" s="1" t="s">
        <v>91</v>
      </c>
      <c r="B107" s="1" t="s">
        <v>109</v>
      </c>
      <c r="C107" s="1" t="s">
        <v>409</v>
      </c>
      <c r="D107" s="1" t="s">
        <v>424</v>
      </c>
      <c r="E107" s="1" t="s">
        <v>219</v>
      </c>
      <c r="F107" s="1" t="s">
        <v>655</v>
      </c>
      <c r="G107" s="1" t="s">
        <v>424</v>
      </c>
    </row>
    <row r="108" spans="1:7" x14ac:dyDescent="0.25">
      <c r="A108" s="1" t="s">
        <v>91</v>
      </c>
      <c r="B108" s="1" t="s">
        <v>109</v>
      </c>
      <c r="C108" s="1" t="s">
        <v>409</v>
      </c>
      <c r="D108" s="1" t="s">
        <v>425</v>
      </c>
      <c r="E108" s="1" t="s">
        <v>211</v>
      </c>
      <c r="F108" s="1" t="s">
        <v>654</v>
      </c>
      <c r="G108" s="1" t="s">
        <v>425</v>
      </c>
    </row>
    <row r="109" spans="1:7" x14ac:dyDescent="0.25">
      <c r="A109" s="1" t="s">
        <v>91</v>
      </c>
      <c r="B109" s="1" t="s">
        <v>109</v>
      </c>
      <c r="C109" s="1" t="s">
        <v>409</v>
      </c>
      <c r="D109" s="1" t="s">
        <v>426</v>
      </c>
      <c r="E109" s="1" t="s">
        <v>214</v>
      </c>
      <c r="F109" s="1" t="s">
        <v>656</v>
      </c>
      <c r="G109" s="1" t="s">
        <v>426</v>
      </c>
    </row>
    <row r="110" spans="1:7" x14ac:dyDescent="0.25">
      <c r="A110" s="1" t="s">
        <v>91</v>
      </c>
      <c r="B110" s="1" t="s">
        <v>110</v>
      </c>
      <c r="C110" s="1" t="s">
        <v>427</v>
      </c>
      <c r="D110" s="1" t="s">
        <v>428</v>
      </c>
      <c r="E110" s="1" t="s">
        <v>245</v>
      </c>
      <c r="F110" s="1" t="s">
        <v>657</v>
      </c>
      <c r="G110" s="1" t="s">
        <v>428</v>
      </c>
    </row>
    <row r="111" spans="1:7" x14ac:dyDescent="0.25">
      <c r="A111" s="1" t="s">
        <v>91</v>
      </c>
      <c r="B111" s="1" t="s">
        <v>110</v>
      </c>
      <c r="C111" s="1" t="s">
        <v>427</v>
      </c>
      <c r="D111" s="1" t="s">
        <v>429</v>
      </c>
      <c r="E111" s="1" t="s">
        <v>241</v>
      </c>
      <c r="F111" s="1" t="s">
        <v>658</v>
      </c>
      <c r="G111" s="1" t="s">
        <v>429</v>
      </c>
    </row>
    <row r="112" spans="1:7" x14ac:dyDescent="0.25">
      <c r="A112" s="1" t="s">
        <v>91</v>
      </c>
      <c r="B112" s="1" t="s">
        <v>110</v>
      </c>
      <c r="C112" s="1" t="s">
        <v>427</v>
      </c>
      <c r="D112" s="1" t="s">
        <v>430</v>
      </c>
      <c r="E112" s="1" t="s">
        <v>231</v>
      </c>
      <c r="F112" s="1" t="s">
        <v>659</v>
      </c>
      <c r="G112" s="1" t="s">
        <v>430</v>
      </c>
    </row>
    <row r="113" spans="1:7" x14ac:dyDescent="0.25">
      <c r="A113" s="1" t="s">
        <v>91</v>
      </c>
      <c r="B113" s="1" t="s">
        <v>110</v>
      </c>
      <c r="C113" s="1" t="s">
        <v>427</v>
      </c>
      <c r="D113" s="1" t="s">
        <v>431</v>
      </c>
      <c r="E113" s="1" t="s">
        <v>228</v>
      </c>
      <c r="F113" s="1" t="s">
        <v>660</v>
      </c>
      <c r="G113" s="1" t="s">
        <v>431</v>
      </c>
    </row>
    <row r="114" spans="1:7" x14ac:dyDescent="0.25">
      <c r="A114" s="1" t="s">
        <v>91</v>
      </c>
      <c r="B114" s="1" t="s">
        <v>110</v>
      </c>
      <c r="C114" s="1" t="s">
        <v>427</v>
      </c>
      <c r="D114" s="1" t="s">
        <v>432</v>
      </c>
      <c r="E114" s="1" t="s">
        <v>243</v>
      </c>
      <c r="F114" s="1" t="s">
        <v>661</v>
      </c>
      <c r="G114" s="1" t="s">
        <v>432</v>
      </c>
    </row>
    <row r="115" spans="1:7" x14ac:dyDescent="0.25">
      <c r="A115" s="1" t="s">
        <v>91</v>
      </c>
      <c r="B115" s="1" t="s">
        <v>110</v>
      </c>
      <c r="C115" s="1" t="s">
        <v>427</v>
      </c>
      <c r="D115" s="1" t="s">
        <v>433</v>
      </c>
      <c r="E115" s="1" t="s">
        <v>232</v>
      </c>
      <c r="F115" s="1" t="s">
        <v>662</v>
      </c>
      <c r="G115" s="1" t="s">
        <v>433</v>
      </c>
    </row>
    <row r="116" spans="1:7" x14ac:dyDescent="0.25">
      <c r="A116" s="1" t="s">
        <v>91</v>
      </c>
      <c r="B116" s="1" t="s">
        <v>110</v>
      </c>
      <c r="C116" s="1" t="s">
        <v>427</v>
      </c>
      <c r="D116" s="1" t="s">
        <v>434</v>
      </c>
      <c r="E116" s="1" t="s">
        <v>233</v>
      </c>
      <c r="F116" s="1" t="s">
        <v>663</v>
      </c>
      <c r="G116" s="1" t="s">
        <v>434</v>
      </c>
    </row>
    <row r="117" spans="1:7" x14ac:dyDescent="0.25">
      <c r="A117" s="1" t="s">
        <v>91</v>
      </c>
      <c r="B117" s="1" t="s">
        <v>110</v>
      </c>
      <c r="C117" s="1" t="s">
        <v>427</v>
      </c>
      <c r="D117" s="1" t="s">
        <v>435</v>
      </c>
      <c r="E117" s="1" t="s">
        <v>230</v>
      </c>
      <c r="F117" s="1" t="s">
        <v>664</v>
      </c>
      <c r="G117" s="1" t="s">
        <v>435</v>
      </c>
    </row>
    <row r="118" spans="1:7" x14ac:dyDescent="0.25">
      <c r="A118" s="1" t="s">
        <v>91</v>
      </c>
      <c r="B118" s="1" t="s">
        <v>110</v>
      </c>
      <c r="C118" s="1" t="s">
        <v>427</v>
      </c>
      <c r="D118" s="1" t="s">
        <v>436</v>
      </c>
      <c r="E118" s="1" t="s">
        <v>229</v>
      </c>
      <c r="F118" s="1" t="s">
        <v>665</v>
      </c>
      <c r="G118" s="1" t="s">
        <v>436</v>
      </c>
    </row>
    <row r="119" spans="1:7" x14ac:dyDescent="0.25">
      <c r="A119" s="1" t="s">
        <v>91</v>
      </c>
      <c r="B119" s="1" t="s">
        <v>110</v>
      </c>
      <c r="C119" s="1" t="s">
        <v>427</v>
      </c>
      <c r="D119" s="1" t="s">
        <v>437</v>
      </c>
      <c r="E119" s="1" t="s">
        <v>237</v>
      </c>
      <c r="F119" s="1" t="s">
        <v>666</v>
      </c>
      <c r="G119" s="1" t="s">
        <v>437</v>
      </c>
    </row>
    <row r="120" spans="1:7" x14ac:dyDescent="0.25">
      <c r="A120" s="1" t="s">
        <v>91</v>
      </c>
      <c r="B120" s="1" t="s">
        <v>110</v>
      </c>
      <c r="C120" s="1" t="s">
        <v>427</v>
      </c>
      <c r="D120" s="1" t="s">
        <v>438</v>
      </c>
      <c r="E120" s="1" t="s">
        <v>225</v>
      </c>
      <c r="F120" s="1" t="s">
        <v>667</v>
      </c>
      <c r="G120" s="1" t="s">
        <v>438</v>
      </c>
    </row>
    <row r="121" spans="1:7" x14ac:dyDescent="0.25">
      <c r="A121" s="1" t="s">
        <v>91</v>
      </c>
      <c r="B121" s="1" t="s">
        <v>110</v>
      </c>
      <c r="C121" s="1" t="s">
        <v>427</v>
      </c>
      <c r="D121" s="1" t="s">
        <v>427</v>
      </c>
      <c r="E121" s="1" t="s">
        <v>110</v>
      </c>
      <c r="F121" s="1" t="s">
        <v>668</v>
      </c>
      <c r="G121" s="1" t="s">
        <v>427</v>
      </c>
    </row>
    <row r="122" spans="1:7" x14ac:dyDescent="0.25">
      <c r="A122" s="1" t="s">
        <v>91</v>
      </c>
      <c r="B122" s="1" t="s">
        <v>110</v>
      </c>
      <c r="C122" s="1" t="s">
        <v>427</v>
      </c>
      <c r="D122" s="1" t="s">
        <v>439</v>
      </c>
      <c r="E122" s="1" t="s">
        <v>239</v>
      </c>
      <c r="F122" s="1" t="s">
        <v>669</v>
      </c>
      <c r="G122" s="1" t="s">
        <v>439</v>
      </c>
    </row>
    <row r="123" spans="1:7" x14ac:dyDescent="0.25">
      <c r="A123" s="1" t="s">
        <v>91</v>
      </c>
      <c r="B123" s="1" t="s">
        <v>110</v>
      </c>
      <c r="C123" s="1" t="s">
        <v>427</v>
      </c>
      <c r="D123" s="1" t="s">
        <v>440</v>
      </c>
      <c r="E123" s="1" t="s">
        <v>226</v>
      </c>
      <c r="F123" s="1" t="s">
        <v>670</v>
      </c>
      <c r="G123" s="1" t="s">
        <v>440</v>
      </c>
    </row>
    <row r="124" spans="1:7" x14ac:dyDescent="0.25">
      <c r="A124" s="1" t="s">
        <v>91</v>
      </c>
      <c r="B124" s="1" t="s">
        <v>110</v>
      </c>
      <c r="C124" s="1" t="s">
        <v>427</v>
      </c>
      <c r="D124" s="1" t="s">
        <v>441</v>
      </c>
      <c r="E124" s="1" t="s">
        <v>224</v>
      </c>
      <c r="F124" s="1" t="s">
        <v>671</v>
      </c>
      <c r="G124" s="1" t="s">
        <v>441</v>
      </c>
    </row>
    <row r="125" spans="1:7" x14ac:dyDescent="0.25">
      <c r="A125" s="1" t="s">
        <v>91</v>
      </c>
      <c r="B125" s="1" t="s">
        <v>110</v>
      </c>
      <c r="C125" s="1" t="s">
        <v>427</v>
      </c>
      <c r="D125" s="1" t="s">
        <v>442</v>
      </c>
      <c r="E125" s="1" t="s">
        <v>242</v>
      </c>
      <c r="F125" s="1" t="s">
        <v>672</v>
      </c>
      <c r="G125" s="1" t="s">
        <v>442</v>
      </c>
    </row>
    <row r="126" spans="1:7" x14ac:dyDescent="0.25">
      <c r="A126" s="1" t="s">
        <v>91</v>
      </c>
      <c r="B126" s="1" t="s">
        <v>110</v>
      </c>
      <c r="C126" s="1" t="s">
        <v>427</v>
      </c>
      <c r="D126" s="1" t="s">
        <v>443</v>
      </c>
      <c r="E126" s="1" t="s">
        <v>234</v>
      </c>
      <c r="F126" s="1" t="s">
        <v>673</v>
      </c>
      <c r="G126" s="1" t="s">
        <v>443</v>
      </c>
    </row>
    <row r="127" spans="1:7" x14ac:dyDescent="0.25">
      <c r="A127" s="1" t="s">
        <v>91</v>
      </c>
      <c r="B127" s="1" t="s">
        <v>110</v>
      </c>
      <c r="C127" s="1" t="s">
        <v>427</v>
      </c>
      <c r="D127" s="1" t="s">
        <v>444</v>
      </c>
      <c r="E127" s="1" t="s">
        <v>236</v>
      </c>
      <c r="F127" s="1" t="s">
        <v>674</v>
      </c>
      <c r="G127" s="1" t="s">
        <v>444</v>
      </c>
    </row>
    <row r="128" spans="1:7" x14ac:dyDescent="0.25">
      <c r="A128" s="1" t="s">
        <v>91</v>
      </c>
      <c r="B128" s="1" t="s">
        <v>110</v>
      </c>
      <c r="C128" s="1" t="s">
        <v>427</v>
      </c>
      <c r="D128" s="1" t="s">
        <v>445</v>
      </c>
      <c r="E128" s="1" t="s">
        <v>227</v>
      </c>
      <c r="F128" s="1" t="s">
        <v>675</v>
      </c>
      <c r="G128" s="1" t="s">
        <v>445</v>
      </c>
    </row>
    <row r="129" spans="1:7" x14ac:dyDescent="0.25">
      <c r="A129" s="1" t="s">
        <v>91</v>
      </c>
      <c r="B129" s="1" t="s">
        <v>110</v>
      </c>
      <c r="C129" s="1" t="s">
        <v>427</v>
      </c>
      <c r="D129" s="1" t="s">
        <v>446</v>
      </c>
      <c r="E129" s="1" t="s">
        <v>205</v>
      </c>
      <c r="F129" s="1" t="s">
        <v>676</v>
      </c>
      <c r="G129" s="1" t="s">
        <v>446</v>
      </c>
    </row>
    <row r="130" spans="1:7" x14ac:dyDescent="0.25">
      <c r="A130" s="1" t="s">
        <v>91</v>
      </c>
      <c r="B130" s="1" t="s">
        <v>110</v>
      </c>
      <c r="C130" s="1" t="s">
        <v>427</v>
      </c>
      <c r="D130" s="1" t="s">
        <v>447</v>
      </c>
      <c r="E130" s="1" t="s">
        <v>244</v>
      </c>
      <c r="F130" s="1" t="s">
        <v>677</v>
      </c>
      <c r="G130" s="1" t="s">
        <v>447</v>
      </c>
    </row>
    <row r="131" spans="1:7" x14ac:dyDescent="0.25">
      <c r="A131" s="1" t="s">
        <v>91</v>
      </c>
      <c r="B131" s="1" t="s">
        <v>110</v>
      </c>
      <c r="C131" s="1" t="s">
        <v>427</v>
      </c>
      <c r="D131" s="1" t="s">
        <v>448</v>
      </c>
      <c r="E131" s="1" t="s">
        <v>246</v>
      </c>
      <c r="F131" s="1" t="s">
        <v>678</v>
      </c>
      <c r="G131" s="1" t="s">
        <v>448</v>
      </c>
    </row>
    <row r="132" spans="1:7" x14ac:dyDescent="0.25">
      <c r="A132" s="1" t="s">
        <v>91</v>
      </c>
      <c r="B132" s="1" t="s">
        <v>110</v>
      </c>
      <c r="C132" s="1" t="s">
        <v>427</v>
      </c>
      <c r="D132" s="1" t="s">
        <v>449</v>
      </c>
      <c r="E132" s="1" t="s">
        <v>235</v>
      </c>
      <c r="F132" s="1" t="s">
        <v>679</v>
      </c>
      <c r="G132" s="1" t="s">
        <v>449</v>
      </c>
    </row>
    <row r="133" spans="1:7" x14ac:dyDescent="0.25">
      <c r="A133" s="1" t="s">
        <v>91</v>
      </c>
      <c r="B133" s="1" t="s">
        <v>110</v>
      </c>
      <c r="C133" s="1" t="s">
        <v>427</v>
      </c>
      <c r="D133" s="1" t="s">
        <v>450</v>
      </c>
      <c r="E133" s="1" t="s">
        <v>240</v>
      </c>
      <c r="F133" s="1" t="s">
        <v>680</v>
      </c>
      <c r="G133" s="1" t="s">
        <v>450</v>
      </c>
    </row>
    <row r="134" spans="1:7" x14ac:dyDescent="0.25">
      <c r="A134" s="1" t="s">
        <v>91</v>
      </c>
      <c r="B134" s="1" t="s">
        <v>110</v>
      </c>
      <c r="C134" s="1" t="s">
        <v>427</v>
      </c>
      <c r="D134" s="1" t="s">
        <v>451</v>
      </c>
      <c r="E134" s="1" t="s">
        <v>238</v>
      </c>
      <c r="F134" s="1" t="s">
        <v>681</v>
      </c>
      <c r="G134" s="1" t="s">
        <v>451</v>
      </c>
    </row>
    <row r="135" spans="1:7" x14ac:dyDescent="0.25">
      <c r="A135" s="1" t="s">
        <v>91</v>
      </c>
      <c r="B135" s="1" t="s">
        <v>110</v>
      </c>
      <c r="C135" s="1" t="s">
        <v>427</v>
      </c>
      <c r="D135" s="1" t="s">
        <v>452</v>
      </c>
      <c r="E135" s="1" t="s">
        <v>247</v>
      </c>
      <c r="F135" s="1" t="s">
        <v>682</v>
      </c>
      <c r="G135" s="1" t="s">
        <v>452</v>
      </c>
    </row>
    <row r="136" spans="1:7" x14ac:dyDescent="0.25">
      <c r="A136" s="1" t="s">
        <v>92</v>
      </c>
      <c r="B136" s="1" t="s">
        <v>111</v>
      </c>
      <c r="C136" s="1" t="s">
        <v>453</v>
      </c>
      <c r="D136" s="1" t="s">
        <v>454</v>
      </c>
      <c r="E136" s="1" t="s">
        <v>133</v>
      </c>
      <c r="F136" s="1" t="s">
        <v>683</v>
      </c>
      <c r="G136" s="1" t="s">
        <v>454</v>
      </c>
    </row>
    <row r="137" spans="1:7" x14ac:dyDescent="0.25">
      <c r="A137" s="1" t="s">
        <v>92</v>
      </c>
      <c r="B137" s="1" t="s">
        <v>111</v>
      </c>
      <c r="C137" s="1" t="s">
        <v>453</v>
      </c>
      <c r="D137" s="1" t="s">
        <v>455</v>
      </c>
      <c r="E137" s="1" t="s">
        <v>250</v>
      </c>
      <c r="F137" s="1" t="s">
        <v>684</v>
      </c>
      <c r="G137" s="1" t="s">
        <v>455</v>
      </c>
    </row>
    <row r="138" spans="1:7" x14ac:dyDescent="0.25">
      <c r="A138" s="1" t="s">
        <v>92</v>
      </c>
      <c r="B138" s="1" t="s">
        <v>111</v>
      </c>
      <c r="C138" s="1" t="s">
        <v>453</v>
      </c>
      <c r="D138" s="1" t="s">
        <v>453</v>
      </c>
      <c r="E138" s="1" t="s">
        <v>111</v>
      </c>
      <c r="F138" s="1" t="s">
        <v>685</v>
      </c>
      <c r="G138" s="1" t="s">
        <v>453</v>
      </c>
    </row>
    <row r="139" spans="1:7" x14ac:dyDescent="0.25">
      <c r="A139" s="1" t="s">
        <v>92</v>
      </c>
      <c r="B139" s="1" t="s">
        <v>111</v>
      </c>
      <c r="C139" s="1" t="s">
        <v>453</v>
      </c>
      <c r="D139" s="1" t="s">
        <v>456</v>
      </c>
      <c r="E139" s="1" t="s">
        <v>252</v>
      </c>
      <c r="F139" s="1" t="s">
        <v>686</v>
      </c>
      <c r="G139" s="1" t="s">
        <v>456</v>
      </c>
    </row>
    <row r="140" spans="1:7" x14ac:dyDescent="0.25">
      <c r="A140" s="1" t="s">
        <v>92</v>
      </c>
      <c r="B140" s="1" t="s">
        <v>111</v>
      </c>
      <c r="C140" s="1" t="s">
        <v>453</v>
      </c>
      <c r="D140" s="1" t="s">
        <v>457</v>
      </c>
      <c r="E140" s="1" t="s">
        <v>253</v>
      </c>
      <c r="F140" s="1" t="s">
        <v>687</v>
      </c>
      <c r="G140" s="1" t="s">
        <v>457</v>
      </c>
    </row>
    <row r="141" spans="1:7" x14ac:dyDescent="0.25">
      <c r="A141" s="1" t="s">
        <v>92</v>
      </c>
      <c r="B141" s="1" t="s">
        <v>111</v>
      </c>
      <c r="C141" s="1" t="s">
        <v>453</v>
      </c>
      <c r="D141" s="1" t="s">
        <v>458</v>
      </c>
      <c r="E141" s="1" t="s">
        <v>248</v>
      </c>
      <c r="F141" s="1" t="s">
        <v>688</v>
      </c>
      <c r="G141" s="1" t="s">
        <v>458</v>
      </c>
    </row>
    <row r="142" spans="1:7" x14ac:dyDescent="0.25">
      <c r="A142" s="1" t="s">
        <v>92</v>
      </c>
      <c r="B142" s="1" t="s">
        <v>111</v>
      </c>
      <c r="C142" s="1" t="s">
        <v>453</v>
      </c>
      <c r="D142" s="1" t="s">
        <v>459</v>
      </c>
      <c r="E142" s="1" t="s">
        <v>249</v>
      </c>
      <c r="F142" s="1" t="s">
        <v>689</v>
      </c>
      <c r="G142" s="1" t="s">
        <v>459</v>
      </c>
    </row>
    <row r="143" spans="1:7" x14ac:dyDescent="0.25">
      <c r="A143" s="1" t="s">
        <v>92</v>
      </c>
      <c r="B143" s="1" t="s">
        <v>111</v>
      </c>
      <c r="C143" s="1" t="s">
        <v>453</v>
      </c>
      <c r="D143" s="1" t="s">
        <v>460</v>
      </c>
      <c r="E143" s="1" t="s">
        <v>254</v>
      </c>
      <c r="F143" s="1" t="s">
        <v>690</v>
      </c>
      <c r="G143" s="1" t="s">
        <v>460</v>
      </c>
    </row>
    <row r="144" spans="1:7" x14ac:dyDescent="0.25">
      <c r="A144" s="1" t="s">
        <v>92</v>
      </c>
      <c r="B144" s="1" t="s">
        <v>111</v>
      </c>
      <c r="C144" s="1" t="s">
        <v>453</v>
      </c>
      <c r="D144" s="1" t="s">
        <v>461</v>
      </c>
      <c r="E144" s="1" t="s">
        <v>251</v>
      </c>
      <c r="F144" s="1" t="s">
        <v>691</v>
      </c>
      <c r="G144" s="1" t="s">
        <v>461</v>
      </c>
    </row>
    <row r="145" spans="1:7" x14ac:dyDescent="0.25">
      <c r="A145" s="1" t="s">
        <v>93</v>
      </c>
      <c r="B145" s="1" t="s">
        <v>112</v>
      </c>
      <c r="C145" s="1" t="s">
        <v>462</v>
      </c>
      <c r="D145" s="1" t="s">
        <v>463</v>
      </c>
      <c r="E145" s="1" t="s">
        <v>267</v>
      </c>
      <c r="F145" s="1" t="s">
        <v>692</v>
      </c>
      <c r="G145" s="1" t="s">
        <v>463</v>
      </c>
    </row>
    <row r="146" spans="1:7" x14ac:dyDescent="0.25">
      <c r="A146" s="1" t="s">
        <v>93</v>
      </c>
      <c r="B146" s="1" t="s">
        <v>112</v>
      </c>
      <c r="C146" s="1" t="s">
        <v>462</v>
      </c>
      <c r="D146" s="1" t="s">
        <v>464</v>
      </c>
      <c r="E146" s="1" t="s">
        <v>271</v>
      </c>
      <c r="F146" s="1" t="s">
        <v>693</v>
      </c>
      <c r="G146" s="1" t="s">
        <v>464</v>
      </c>
    </row>
    <row r="147" spans="1:7" x14ac:dyDescent="0.25">
      <c r="A147" s="1" t="s">
        <v>93</v>
      </c>
      <c r="B147" s="1" t="s">
        <v>112</v>
      </c>
      <c r="C147" s="1" t="s">
        <v>462</v>
      </c>
      <c r="D147" s="1" t="s">
        <v>465</v>
      </c>
      <c r="E147" s="1" t="s">
        <v>270</v>
      </c>
      <c r="F147" s="1" t="s">
        <v>694</v>
      </c>
      <c r="G147" s="1" t="s">
        <v>465</v>
      </c>
    </row>
    <row r="148" spans="1:7" x14ac:dyDescent="0.25">
      <c r="A148" s="1" t="s">
        <v>93</v>
      </c>
      <c r="B148" s="1" t="s">
        <v>112</v>
      </c>
      <c r="C148" s="1" t="s">
        <v>462</v>
      </c>
      <c r="D148" s="1" t="s">
        <v>466</v>
      </c>
      <c r="E148" s="1" t="s">
        <v>265</v>
      </c>
      <c r="F148" s="1" t="s">
        <v>695</v>
      </c>
      <c r="G148" s="1" t="s">
        <v>466</v>
      </c>
    </row>
    <row r="149" spans="1:7" x14ac:dyDescent="0.25">
      <c r="A149" s="1" t="s">
        <v>93</v>
      </c>
      <c r="B149" s="1" t="s">
        <v>112</v>
      </c>
      <c r="C149" s="1" t="s">
        <v>462</v>
      </c>
      <c r="D149" s="1" t="s">
        <v>467</v>
      </c>
      <c r="E149" s="1" t="s">
        <v>258</v>
      </c>
      <c r="F149" s="1" t="s">
        <v>696</v>
      </c>
      <c r="G149" s="1" t="s">
        <v>467</v>
      </c>
    </row>
    <row r="150" spans="1:7" x14ac:dyDescent="0.25">
      <c r="A150" s="1" t="s">
        <v>93</v>
      </c>
      <c r="B150" s="1" t="s">
        <v>112</v>
      </c>
      <c r="C150" s="1" t="s">
        <v>462</v>
      </c>
      <c r="D150" s="1" t="s">
        <v>468</v>
      </c>
      <c r="E150" s="1" t="s">
        <v>261</v>
      </c>
      <c r="F150" s="1" t="s">
        <v>697</v>
      </c>
      <c r="G150" s="1" t="s">
        <v>468</v>
      </c>
    </row>
    <row r="151" spans="1:7" x14ac:dyDescent="0.25">
      <c r="A151" s="1" t="s">
        <v>93</v>
      </c>
      <c r="B151" s="1" t="s">
        <v>112</v>
      </c>
      <c r="C151" s="1" t="s">
        <v>462</v>
      </c>
      <c r="D151" s="1" t="s">
        <v>469</v>
      </c>
      <c r="E151" s="1" t="s">
        <v>266</v>
      </c>
      <c r="F151" s="1" t="s">
        <v>698</v>
      </c>
      <c r="G151" s="1" t="s">
        <v>469</v>
      </c>
    </row>
    <row r="152" spans="1:7" x14ac:dyDescent="0.25">
      <c r="A152" s="1" t="s">
        <v>93</v>
      </c>
      <c r="B152" s="1" t="s">
        <v>112</v>
      </c>
      <c r="C152" s="1" t="s">
        <v>462</v>
      </c>
      <c r="D152" s="1" t="s">
        <v>470</v>
      </c>
      <c r="E152" s="1" t="s">
        <v>268</v>
      </c>
      <c r="F152" s="1" t="s">
        <v>699</v>
      </c>
      <c r="G152" s="1" t="s">
        <v>470</v>
      </c>
    </row>
    <row r="153" spans="1:7" x14ac:dyDescent="0.25">
      <c r="A153" s="1" t="s">
        <v>93</v>
      </c>
      <c r="B153" s="1" t="s">
        <v>112</v>
      </c>
      <c r="C153" s="1" t="s">
        <v>462</v>
      </c>
      <c r="D153" s="1" t="s">
        <v>471</v>
      </c>
      <c r="E153" s="1" t="s">
        <v>273</v>
      </c>
      <c r="F153" s="1" t="s">
        <v>700</v>
      </c>
      <c r="G153" s="1" t="s">
        <v>471</v>
      </c>
    </row>
    <row r="154" spans="1:7" x14ac:dyDescent="0.25">
      <c r="A154" s="1" t="s">
        <v>93</v>
      </c>
      <c r="B154" s="1" t="s">
        <v>112</v>
      </c>
      <c r="C154" s="1" t="s">
        <v>462</v>
      </c>
      <c r="D154" s="1" t="s">
        <v>472</v>
      </c>
      <c r="E154" s="1" t="s">
        <v>201</v>
      </c>
      <c r="F154" s="1" t="s">
        <v>701</v>
      </c>
      <c r="G154" s="1" t="s">
        <v>472</v>
      </c>
    </row>
    <row r="155" spans="1:7" x14ac:dyDescent="0.25">
      <c r="A155" s="1" t="s">
        <v>93</v>
      </c>
      <c r="B155" s="1" t="s">
        <v>112</v>
      </c>
      <c r="C155" s="1" t="s">
        <v>462</v>
      </c>
      <c r="D155" s="1" t="s">
        <v>473</v>
      </c>
      <c r="E155" s="1" t="s">
        <v>255</v>
      </c>
      <c r="F155" s="1" t="s">
        <v>702</v>
      </c>
      <c r="G155" s="1" t="s">
        <v>473</v>
      </c>
    </row>
    <row r="156" spans="1:7" x14ac:dyDescent="0.25">
      <c r="A156" s="1" t="s">
        <v>93</v>
      </c>
      <c r="B156" s="1" t="s">
        <v>112</v>
      </c>
      <c r="C156" s="1" t="s">
        <v>462</v>
      </c>
      <c r="D156" s="1" t="s">
        <v>474</v>
      </c>
      <c r="E156" s="1" t="s">
        <v>263</v>
      </c>
      <c r="F156" s="1" t="s">
        <v>703</v>
      </c>
      <c r="G156" s="1" t="s">
        <v>474</v>
      </c>
    </row>
    <row r="157" spans="1:7" x14ac:dyDescent="0.25">
      <c r="A157" s="1" t="s">
        <v>93</v>
      </c>
      <c r="B157" s="1" t="s">
        <v>112</v>
      </c>
      <c r="C157" s="1" t="s">
        <v>462</v>
      </c>
      <c r="D157" s="1" t="s">
        <v>475</v>
      </c>
      <c r="E157" s="1" t="s">
        <v>272</v>
      </c>
      <c r="F157" s="1" t="s">
        <v>704</v>
      </c>
      <c r="G157" s="1" t="s">
        <v>475</v>
      </c>
    </row>
    <row r="158" spans="1:7" x14ac:dyDescent="0.25">
      <c r="A158" s="1" t="s">
        <v>93</v>
      </c>
      <c r="B158" s="1" t="s">
        <v>112</v>
      </c>
      <c r="C158" s="1" t="s">
        <v>462</v>
      </c>
      <c r="D158" s="1" t="s">
        <v>476</v>
      </c>
      <c r="E158" s="1" t="s">
        <v>256</v>
      </c>
      <c r="F158" s="1" t="s">
        <v>705</v>
      </c>
      <c r="G158" s="1" t="s">
        <v>476</v>
      </c>
    </row>
    <row r="159" spans="1:7" x14ac:dyDescent="0.25">
      <c r="A159" s="1" t="s">
        <v>93</v>
      </c>
      <c r="B159" s="1" t="s">
        <v>112</v>
      </c>
      <c r="C159" s="1" t="s">
        <v>462</v>
      </c>
      <c r="D159" s="1" t="s">
        <v>477</v>
      </c>
      <c r="E159" s="1" t="s">
        <v>259</v>
      </c>
      <c r="F159" s="1" t="s">
        <v>706</v>
      </c>
      <c r="G159" s="1" t="s">
        <v>477</v>
      </c>
    </row>
    <row r="160" spans="1:7" x14ac:dyDescent="0.25">
      <c r="A160" s="1" t="s">
        <v>93</v>
      </c>
      <c r="B160" s="1" t="s">
        <v>112</v>
      </c>
      <c r="C160" s="1" t="s">
        <v>462</v>
      </c>
      <c r="D160" s="1" t="s">
        <v>462</v>
      </c>
      <c r="E160" s="1" t="s">
        <v>112</v>
      </c>
      <c r="F160" s="1" t="s">
        <v>707</v>
      </c>
      <c r="G160" s="1" t="s">
        <v>462</v>
      </c>
    </row>
    <row r="161" spans="1:7" x14ac:dyDescent="0.25">
      <c r="A161" s="1" t="s">
        <v>93</v>
      </c>
      <c r="B161" s="1" t="s">
        <v>112</v>
      </c>
      <c r="C161" s="1" t="s">
        <v>462</v>
      </c>
      <c r="D161" s="1" t="s">
        <v>478</v>
      </c>
      <c r="E161" s="1" t="s">
        <v>257</v>
      </c>
      <c r="F161" s="1" t="s">
        <v>708</v>
      </c>
      <c r="G161" s="1" t="s">
        <v>478</v>
      </c>
    </row>
    <row r="162" spans="1:7" x14ac:dyDescent="0.25">
      <c r="A162" s="1" t="s">
        <v>93</v>
      </c>
      <c r="B162" s="1" t="s">
        <v>112</v>
      </c>
      <c r="C162" s="1" t="s">
        <v>462</v>
      </c>
      <c r="D162" s="1" t="s">
        <v>479</v>
      </c>
      <c r="E162" s="1" t="s">
        <v>260</v>
      </c>
      <c r="F162" s="1" t="s">
        <v>709</v>
      </c>
      <c r="G162" s="1" t="s">
        <v>479</v>
      </c>
    </row>
    <row r="163" spans="1:7" x14ac:dyDescent="0.25">
      <c r="A163" s="1" t="s">
        <v>93</v>
      </c>
      <c r="B163" s="1" t="s">
        <v>112</v>
      </c>
      <c r="C163" s="1" t="s">
        <v>462</v>
      </c>
      <c r="D163" s="1" t="s">
        <v>480</v>
      </c>
      <c r="E163" s="1" t="s">
        <v>262</v>
      </c>
      <c r="F163" s="1" t="s">
        <v>710</v>
      </c>
      <c r="G163" s="1" t="s">
        <v>480</v>
      </c>
    </row>
    <row r="164" spans="1:7" x14ac:dyDescent="0.25">
      <c r="A164" s="1" t="s">
        <v>93</v>
      </c>
      <c r="B164" s="1" t="s">
        <v>112</v>
      </c>
      <c r="C164" s="1" t="s">
        <v>462</v>
      </c>
      <c r="D164" s="1" t="s">
        <v>481</v>
      </c>
      <c r="E164" s="1" t="s">
        <v>269</v>
      </c>
      <c r="F164" s="1" t="s">
        <v>711</v>
      </c>
      <c r="G164" s="1" t="s">
        <v>481</v>
      </c>
    </row>
    <row r="165" spans="1:7" x14ac:dyDescent="0.25">
      <c r="A165" s="1" t="s">
        <v>93</v>
      </c>
      <c r="B165" s="1" t="s">
        <v>112</v>
      </c>
      <c r="C165" s="1" t="s">
        <v>462</v>
      </c>
      <c r="D165" s="1" t="s">
        <v>482</v>
      </c>
      <c r="E165" s="1" t="s">
        <v>177</v>
      </c>
      <c r="F165" s="1" t="s">
        <v>712</v>
      </c>
      <c r="G165" s="1" t="s">
        <v>482</v>
      </c>
    </row>
    <row r="166" spans="1:7" x14ac:dyDescent="0.25">
      <c r="A166" s="1" t="s">
        <v>93</v>
      </c>
      <c r="B166" s="1" t="s">
        <v>112</v>
      </c>
      <c r="C166" s="1" t="s">
        <v>462</v>
      </c>
      <c r="D166" s="1" t="s">
        <v>483</v>
      </c>
      <c r="E166" s="1" t="s">
        <v>264</v>
      </c>
      <c r="F166" s="1" t="s">
        <v>713</v>
      </c>
      <c r="G166" s="1" t="s">
        <v>483</v>
      </c>
    </row>
    <row r="167" spans="1:7" x14ac:dyDescent="0.25">
      <c r="A167" s="1" t="s">
        <v>94</v>
      </c>
      <c r="B167" s="1" t="s">
        <v>113</v>
      </c>
      <c r="C167" s="1" t="s">
        <v>484</v>
      </c>
      <c r="D167" s="1" t="s">
        <v>485</v>
      </c>
      <c r="E167" s="1" t="s">
        <v>276</v>
      </c>
      <c r="F167" s="1" t="s">
        <v>714</v>
      </c>
      <c r="G167" s="1" t="s">
        <v>485</v>
      </c>
    </row>
    <row r="168" spans="1:7" x14ac:dyDescent="0.25">
      <c r="A168" s="1" t="s">
        <v>94</v>
      </c>
      <c r="B168" s="1" t="s">
        <v>113</v>
      </c>
      <c r="C168" s="1" t="s">
        <v>484</v>
      </c>
      <c r="D168" s="1" t="s">
        <v>484</v>
      </c>
      <c r="E168" s="1" t="s">
        <v>113</v>
      </c>
      <c r="F168" s="1" t="s">
        <v>715</v>
      </c>
      <c r="G168" s="1" t="s">
        <v>484</v>
      </c>
    </row>
    <row r="169" spans="1:7" x14ac:dyDescent="0.25">
      <c r="A169" s="1" t="s">
        <v>94</v>
      </c>
      <c r="B169" s="1" t="s">
        <v>113</v>
      </c>
      <c r="C169" s="1" t="s">
        <v>484</v>
      </c>
      <c r="D169" s="1" t="s">
        <v>486</v>
      </c>
      <c r="E169" s="1" t="s">
        <v>277</v>
      </c>
      <c r="F169" s="1" t="s">
        <v>716</v>
      </c>
      <c r="G169" s="1" t="s">
        <v>486</v>
      </c>
    </row>
    <row r="170" spans="1:7" x14ac:dyDescent="0.25">
      <c r="A170" s="1" t="s">
        <v>94</v>
      </c>
      <c r="B170" s="1" t="s">
        <v>113</v>
      </c>
      <c r="C170" s="1" t="s">
        <v>484</v>
      </c>
      <c r="D170" s="1" t="s">
        <v>487</v>
      </c>
      <c r="E170" s="1" t="s">
        <v>275</v>
      </c>
      <c r="F170" s="1" t="s">
        <v>717</v>
      </c>
      <c r="G170" s="1" t="s">
        <v>487</v>
      </c>
    </row>
    <row r="171" spans="1:7" x14ac:dyDescent="0.25">
      <c r="A171" s="1" t="s">
        <v>94</v>
      </c>
      <c r="B171" s="1" t="s">
        <v>113</v>
      </c>
      <c r="C171" s="1" t="s">
        <v>484</v>
      </c>
      <c r="D171" s="1" t="s">
        <v>488</v>
      </c>
      <c r="E171" s="1" t="s">
        <v>278</v>
      </c>
      <c r="F171" s="1" t="s">
        <v>718</v>
      </c>
      <c r="G171" s="1" t="s">
        <v>488</v>
      </c>
    </row>
    <row r="172" spans="1:7" x14ac:dyDescent="0.25">
      <c r="A172" s="1" t="s">
        <v>94</v>
      </c>
      <c r="B172" s="1" t="s">
        <v>113</v>
      </c>
      <c r="C172" s="1" t="s">
        <v>484</v>
      </c>
      <c r="D172" s="1" t="s">
        <v>489</v>
      </c>
      <c r="E172" s="1" t="s">
        <v>145</v>
      </c>
      <c r="F172" s="1" t="s">
        <v>719</v>
      </c>
      <c r="G172" s="1" t="s">
        <v>489</v>
      </c>
    </row>
    <row r="173" spans="1:7" x14ac:dyDescent="0.25">
      <c r="A173" s="1" t="s">
        <v>94</v>
      </c>
      <c r="B173" s="1" t="s">
        <v>113</v>
      </c>
      <c r="C173" s="1" t="s">
        <v>484</v>
      </c>
      <c r="D173" s="1" t="s">
        <v>490</v>
      </c>
      <c r="E173" s="1" t="s">
        <v>274</v>
      </c>
      <c r="F173" s="1" t="s">
        <v>720</v>
      </c>
      <c r="G173" s="1" t="s">
        <v>490</v>
      </c>
    </row>
    <row r="174" spans="1:7" x14ac:dyDescent="0.25">
      <c r="A174" s="1" t="s">
        <v>94</v>
      </c>
      <c r="B174" s="1" t="s">
        <v>113</v>
      </c>
      <c r="C174" s="1" t="s">
        <v>484</v>
      </c>
      <c r="D174" s="1" t="s">
        <v>491</v>
      </c>
      <c r="E174" s="1" t="s">
        <v>153</v>
      </c>
      <c r="F174" s="1" t="s">
        <v>721</v>
      </c>
      <c r="G174" s="1" t="s">
        <v>491</v>
      </c>
    </row>
    <row r="175" spans="1:7" x14ac:dyDescent="0.25">
      <c r="A175" s="1" t="s">
        <v>94</v>
      </c>
      <c r="B175" s="1" t="s">
        <v>113</v>
      </c>
      <c r="C175" s="1" t="s">
        <v>484</v>
      </c>
      <c r="D175" s="1" t="s">
        <v>492</v>
      </c>
      <c r="E175" s="1" t="s">
        <v>281</v>
      </c>
      <c r="F175" s="1" t="s">
        <v>722</v>
      </c>
      <c r="G175" s="1" t="s">
        <v>492</v>
      </c>
    </row>
    <row r="176" spans="1:7" x14ac:dyDescent="0.25">
      <c r="A176" s="1" t="s">
        <v>94</v>
      </c>
      <c r="B176" s="1" t="s">
        <v>113</v>
      </c>
      <c r="C176" s="1" t="s">
        <v>484</v>
      </c>
      <c r="D176" s="1" t="s">
        <v>493</v>
      </c>
      <c r="E176" s="1" t="s">
        <v>279</v>
      </c>
      <c r="F176" s="1" t="s">
        <v>723</v>
      </c>
      <c r="G176" s="1" t="s">
        <v>493</v>
      </c>
    </row>
    <row r="177" spans="1:7" x14ac:dyDescent="0.25">
      <c r="A177" s="1" t="s">
        <v>94</v>
      </c>
      <c r="B177" s="1" t="s">
        <v>113</v>
      </c>
      <c r="C177" s="1" t="s">
        <v>484</v>
      </c>
      <c r="D177" s="1" t="s">
        <v>494</v>
      </c>
      <c r="E177" s="1" t="s">
        <v>280</v>
      </c>
      <c r="F177" s="1" t="s">
        <v>724</v>
      </c>
      <c r="G177" s="1" t="s">
        <v>494</v>
      </c>
    </row>
    <row r="178" spans="1:7" x14ac:dyDescent="0.25">
      <c r="A178" s="1" t="s">
        <v>95</v>
      </c>
      <c r="B178" s="1" t="s">
        <v>114</v>
      </c>
      <c r="C178" s="1" t="s">
        <v>495</v>
      </c>
      <c r="D178" s="1" t="s">
        <v>496</v>
      </c>
      <c r="E178" s="1" t="s">
        <v>282</v>
      </c>
      <c r="F178" s="1" t="s">
        <v>725</v>
      </c>
      <c r="G178" s="1" t="s">
        <v>496</v>
      </c>
    </row>
    <row r="179" spans="1:7" x14ac:dyDescent="0.25">
      <c r="A179" s="1" t="s">
        <v>95</v>
      </c>
      <c r="B179" s="1" t="s">
        <v>114</v>
      </c>
      <c r="C179" s="1" t="s">
        <v>495</v>
      </c>
      <c r="D179" s="1" t="s">
        <v>497</v>
      </c>
      <c r="E179" s="1" t="s">
        <v>285</v>
      </c>
      <c r="F179" s="1" t="s">
        <v>726</v>
      </c>
      <c r="G179" s="1" t="s">
        <v>497</v>
      </c>
    </row>
    <row r="180" spans="1:7" x14ac:dyDescent="0.25">
      <c r="A180" s="1" t="s">
        <v>95</v>
      </c>
      <c r="B180" s="1" t="s">
        <v>114</v>
      </c>
      <c r="C180" s="1" t="s">
        <v>495</v>
      </c>
      <c r="D180" s="1" t="s">
        <v>495</v>
      </c>
      <c r="E180" s="1" t="s">
        <v>114</v>
      </c>
      <c r="F180" s="1" t="s">
        <v>727</v>
      </c>
      <c r="G180" s="1" t="s">
        <v>495</v>
      </c>
    </row>
    <row r="181" spans="1:7" x14ac:dyDescent="0.25">
      <c r="A181" s="1" t="s">
        <v>95</v>
      </c>
      <c r="B181" s="1" t="s">
        <v>114</v>
      </c>
      <c r="C181" s="1" t="s">
        <v>495</v>
      </c>
      <c r="D181" s="1" t="s">
        <v>498</v>
      </c>
      <c r="E181" s="1" t="s">
        <v>284</v>
      </c>
      <c r="F181" s="1" t="s">
        <v>728</v>
      </c>
      <c r="G181" s="1" t="s">
        <v>498</v>
      </c>
    </row>
    <row r="182" spans="1:7" x14ac:dyDescent="0.25">
      <c r="A182" s="1" t="s">
        <v>95</v>
      </c>
      <c r="B182" s="1" t="s">
        <v>114</v>
      </c>
      <c r="C182" s="1" t="s">
        <v>495</v>
      </c>
      <c r="D182" s="1" t="s">
        <v>499</v>
      </c>
      <c r="E182" s="1" t="s">
        <v>286</v>
      </c>
      <c r="F182" s="1" t="s">
        <v>729</v>
      </c>
      <c r="G182" s="1" t="s">
        <v>499</v>
      </c>
    </row>
    <row r="183" spans="1:7" x14ac:dyDescent="0.25">
      <c r="A183" s="1" t="s">
        <v>95</v>
      </c>
      <c r="B183" s="1" t="s">
        <v>114</v>
      </c>
      <c r="C183" s="1" t="s">
        <v>495</v>
      </c>
      <c r="D183" s="1" t="s">
        <v>500</v>
      </c>
      <c r="E183" s="1" t="s">
        <v>283</v>
      </c>
      <c r="F183" s="1" t="s">
        <v>730</v>
      </c>
      <c r="G183" s="1" t="s">
        <v>500</v>
      </c>
    </row>
    <row r="184" spans="1:7" x14ac:dyDescent="0.25">
      <c r="A184" s="1" t="s">
        <v>96</v>
      </c>
      <c r="B184" s="1" t="s">
        <v>115</v>
      </c>
      <c r="C184" s="1" t="s">
        <v>501</v>
      </c>
      <c r="D184" s="1" t="s">
        <v>502</v>
      </c>
      <c r="E184" s="1" t="s">
        <v>201</v>
      </c>
      <c r="F184" s="1" t="s">
        <v>731</v>
      </c>
      <c r="G184" s="1" t="s">
        <v>502</v>
      </c>
    </row>
    <row r="185" spans="1:7" x14ac:dyDescent="0.25">
      <c r="A185" s="1" t="s">
        <v>96</v>
      </c>
      <c r="B185" s="1" t="s">
        <v>115</v>
      </c>
      <c r="C185" s="1" t="s">
        <v>501</v>
      </c>
      <c r="D185" s="1" t="s">
        <v>501</v>
      </c>
      <c r="E185" s="1" t="s">
        <v>115</v>
      </c>
      <c r="F185" s="1" t="s">
        <v>732</v>
      </c>
      <c r="G185" s="1" t="s">
        <v>501</v>
      </c>
    </row>
    <row r="186" spans="1:7" x14ac:dyDescent="0.25">
      <c r="A186" s="1" t="s">
        <v>96</v>
      </c>
      <c r="B186" s="1" t="s">
        <v>115</v>
      </c>
      <c r="C186" s="1" t="s">
        <v>501</v>
      </c>
      <c r="D186" s="1" t="s">
        <v>503</v>
      </c>
      <c r="E186" s="1" t="s">
        <v>288</v>
      </c>
      <c r="F186" s="1" t="s">
        <v>733</v>
      </c>
      <c r="G186" s="1" t="s">
        <v>503</v>
      </c>
    </row>
    <row r="187" spans="1:7" x14ac:dyDescent="0.25">
      <c r="A187" s="1" t="s">
        <v>96</v>
      </c>
      <c r="B187" s="1" t="s">
        <v>115</v>
      </c>
      <c r="C187" s="1" t="s">
        <v>501</v>
      </c>
      <c r="D187" s="1" t="s">
        <v>504</v>
      </c>
      <c r="E187" s="1" t="s">
        <v>290</v>
      </c>
      <c r="F187" s="1" t="s">
        <v>734</v>
      </c>
      <c r="G187" s="1" t="s">
        <v>504</v>
      </c>
    </row>
    <row r="188" spans="1:7" x14ac:dyDescent="0.25">
      <c r="A188" s="1" t="s">
        <v>96</v>
      </c>
      <c r="B188" s="1" t="s">
        <v>115</v>
      </c>
      <c r="C188" s="1" t="s">
        <v>501</v>
      </c>
      <c r="D188" s="1" t="s">
        <v>505</v>
      </c>
      <c r="E188" s="1" t="s">
        <v>292</v>
      </c>
      <c r="F188" s="1" t="s">
        <v>735</v>
      </c>
      <c r="G188" s="1" t="s">
        <v>505</v>
      </c>
    </row>
    <row r="189" spans="1:7" x14ac:dyDescent="0.25">
      <c r="A189" s="1" t="s">
        <v>96</v>
      </c>
      <c r="B189" s="1" t="s">
        <v>115</v>
      </c>
      <c r="C189" s="1" t="s">
        <v>501</v>
      </c>
      <c r="D189" s="1" t="s">
        <v>506</v>
      </c>
      <c r="E189" s="1" t="s">
        <v>287</v>
      </c>
      <c r="F189" s="1" t="s">
        <v>736</v>
      </c>
      <c r="G189" s="1" t="s">
        <v>506</v>
      </c>
    </row>
    <row r="190" spans="1:7" x14ac:dyDescent="0.25">
      <c r="A190" s="1" t="s">
        <v>96</v>
      </c>
      <c r="B190" s="1" t="s">
        <v>115</v>
      </c>
      <c r="C190" s="1" t="s">
        <v>501</v>
      </c>
      <c r="D190" s="1" t="s">
        <v>507</v>
      </c>
      <c r="E190" s="1" t="s">
        <v>293</v>
      </c>
      <c r="F190" s="1" t="s">
        <v>737</v>
      </c>
      <c r="G190" s="1" t="s">
        <v>507</v>
      </c>
    </row>
    <row r="191" spans="1:7" x14ac:dyDescent="0.25">
      <c r="A191" s="1" t="s">
        <v>96</v>
      </c>
      <c r="B191" s="1" t="s">
        <v>115</v>
      </c>
      <c r="C191" s="1" t="s">
        <v>501</v>
      </c>
      <c r="D191" s="1" t="s">
        <v>508</v>
      </c>
      <c r="E191" s="1" t="s">
        <v>291</v>
      </c>
      <c r="F191" s="1" t="s">
        <v>738</v>
      </c>
      <c r="G191" s="1" t="s">
        <v>508</v>
      </c>
    </row>
    <row r="192" spans="1:7" x14ac:dyDescent="0.25">
      <c r="A192" s="1" t="s">
        <v>96</v>
      </c>
      <c r="B192" s="1" t="s">
        <v>115</v>
      </c>
      <c r="C192" s="1" t="s">
        <v>501</v>
      </c>
      <c r="D192" s="1" t="s">
        <v>509</v>
      </c>
      <c r="E192" s="1" t="s">
        <v>289</v>
      </c>
      <c r="F192" s="1" t="s">
        <v>739</v>
      </c>
      <c r="G192" s="1" t="s">
        <v>509</v>
      </c>
    </row>
    <row r="193" spans="1:7" x14ac:dyDescent="0.25">
      <c r="A193" s="1" t="s">
        <v>97</v>
      </c>
      <c r="B193" s="1" t="s">
        <v>116</v>
      </c>
      <c r="C193" s="1" t="s">
        <v>510</v>
      </c>
      <c r="D193" s="1" t="s">
        <v>511</v>
      </c>
      <c r="E193" s="1" t="s">
        <v>294</v>
      </c>
      <c r="F193" s="1" t="s">
        <v>740</v>
      </c>
      <c r="G193" s="1" t="s">
        <v>511</v>
      </c>
    </row>
    <row r="194" spans="1:7" x14ac:dyDescent="0.25">
      <c r="A194" s="1" t="s">
        <v>98</v>
      </c>
      <c r="B194" s="1" t="s">
        <v>117</v>
      </c>
      <c r="C194" s="1" t="s">
        <v>512</v>
      </c>
      <c r="D194" s="1" t="s">
        <v>513</v>
      </c>
      <c r="E194" s="1" t="s">
        <v>297</v>
      </c>
      <c r="F194" s="1" t="s">
        <v>741</v>
      </c>
      <c r="G194" s="1" t="s">
        <v>513</v>
      </c>
    </row>
    <row r="195" spans="1:7" x14ac:dyDescent="0.25">
      <c r="A195" s="1" t="s">
        <v>98</v>
      </c>
      <c r="B195" s="1" t="s">
        <v>117</v>
      </c>
      <c r="C195" s="1" t="s">
        <v>512</v>
      </c>
      <c r="D195" s="1" t="s">
        <v>514</v>
      </c>
      <c r="E195" s="1" t="s">
        <v>299</v>
      </c>
      <c r="F195" s="1" t="s">
        <v>742</v>
      </c>
      <c r="G195" s="1" t="s">
        <v>514</v>
      </c>
    </row>
    <row r="196" spans="1:7" x14ac:dyDescent="0.25">
      <c r="A196" s="1" t="s">
        <v>98</v>
      </c>
      <c r="B196" s="1" t="s">
        <v>117</v>
      </c>
      <c r="C196" s="1" t="s">
        <v>512</v>
      </c>
      <c r="D196" s="1" t="s">
        <v>515</v>
      </c>
      <c r="E196" s="1" t="s">
        <v>295</v>
      </c>
      <c r="F196" s="1" t="s">
        <v>743</v>
      </c>
      <c r="G196" s="1" t="s">
        <v>515</v>
      </c>
    </row>
    <row r="197" spans="1:7" x14ac:dyDescent="0.25">
      <c r="A197" s="1" t="s">
        <v>98</v>
      </c>
      <c r="B197" s="1" t="s">
        <v>117</v>
      </c>
      <c r="C197" s="1" t="s">
        <v>512</v>
      </c>
      <c r="D197" s="1" t="s">
        <v>512</v>
      </c>
      <c r="E197" s="1" t="s">
        <v>117</v>
      </c>
      <c r="F197" s="1" t="s">
        <v>744</v>
      </c>
      <c r="G197" s="1" t="s">
        <v>512</v>
      </c>
    </row>
    <row r="198" spans="1:7" x14ac:dyDescent="0.25">
      <c r="A198" s="1" t="s">
        <v>98</v>
      </c>
      <c r="B198" s="1" t="s">
        <v>117</v>
      </c>
      <c r="C198" s="1" t="s">
        <v>512</v>
      </c>
      <c r="D198" s="1" t="s">
        <v>516</v>
      </c>
      <c r="E198" s="1" t="s">
        <v>296</v>
      </c>
      <c r="F198" s="1" t="s">
        <v>745</v>
      </c>
      <c r="G198" s="1" t="s">
        <v>516</v>
      </c>
    </row>
    <row r="199" spans="1:7" x14ac:dyDescent="0.25">
      <c r="A199" s="1" t="s">
        <v>98</v>
      </c>
      <c r="B199" s="1" t="s">
        <v>117</v>
      </c>
      <c r="C199" s="1" t="s">
        <v>512</v>
      </c>
      <c r="D199" s="1" t="s">
        <v>517</v>
      </c>
      <c r="E199" s="1" t="s">
        <v>298</v>
      </c>
      <c r="F199" s="1" t="s">
        <v>746</v>
      </c>
      <c r="G199" s="1" t="s">
        <v>517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G1132"/>
  <sheetViews>
    <sheetView topLeftCell="A645" zoomScaleNormal="100" workbookViewId="0">
      <selection activeCell="C662" sqref="C662"/>
    </sheetView>
  </sheetViews>
  <sheetFormatPr baseColWidth="10" defaultRowHeight="15" x14ac:dyDescent="0.25"/>
  <cols>
    <col min="1" max="1" width="22.42578125" style="1" bestFit="1" customWidth="1"/>
    <col min="2" max="2" width="25.140625" style="1" bestFit="1" customWidth="1"/>
    <col min="3" max="3" width="64" style="1" bestFit="1" customWidth="1"/>
    <col min="4" max="4" width="21.28515625" style="1" bestFit="1" customWidth="1"/>
    <col min="5" max="6" width="11.42578125" style="1"/>
    <col min="7" max="7" width="22.42578125" style="1" bestFit="1" customWidth="1"/>
    <col min="8" max="16384" width="11.42578125" style="1"/>
  </cols>
  <sheetData>
    <row r="1" spans="1:7" ht="36" customHeight="1" thickBot="1" x14ac:dyDescent="0.3">
      <c r="A1" s="11" t="s">
        <v>751</v>
      </c>
      <c r="B1" s="11" t="s">
        <v>748</v>
      </c>
      <c r="C1" s="11" t="s">
        <v>750</v>
      </c>
      <c r="D1" s="11" t="s">
        <v>749</v>
      </c>
      <c r="G1" s="10"/>
    </row>
    <row r="2" spans="1:7" ht="15.75" thickBot="1" x14ac:dyDescent="0.3">
      <c r="A2" s="10" t="s">
        <v>762</v>
      </c>
      <c r="B2" s="10">
        <v>5</v>
      </c>
      <c r="C2" s="10" t="s">
        <v>752</v>
      </c>
      <c r="D2" s="10">
        <v>1</v>
      </c>
      <c r="G2" s="10" t="s">
        <v>762</v>
      </c>
    </row>
    <row r="3" spans="1:7" ht="15.75" thickBot="1" x14ac:dyDescent="0.3">
      <c r="A3" s="10" t="s">
        <v>762</v>
      </c>
      <c r="B3" s="10">
        <v>5</v>
      </c>
      <c r="C3" s="10" t="s">
        <v>753</v>
      </c>
      <c r="D3" s="10">
        <v>2</v>
      </c>
      <c r="G3" s="10" t="s">
        <v>1760</v>
      </c>
    </row>
    <row r="4" spans="1:7" ht="15.75" thickBot="1" x14ac:dyDescent="0.3">
      <c r="A4" s="10" t="s">
        <v>762</v>
      </c>
      <c r="B4" s="10">
        <v>5</v>
      </c>
      <c r="C4" s="10" t="s">
        <v>754</v>
      </c>
      <c r="D4" s="10">
        <v>4</v>
      </c>
      <c r="G4" s="10" t="s">
        <v>1792</v>
      </c>
    </row>
    <row r="5" spans="1:7" ht="15.75" thickBot="1" x14ac:dyDescent="0.3">
      <c r="A5" s="10" t="s">
        <v>762</v>
      </c>
      <c r="B5" s="10">
        <v>5</v>
      </c>
      <c r="C5" s="10" t="s">
        <v>755</v>
      </c>
      <c r="D5" s="10">
        <v>21</v>
      </c>
      <c r="G5" s="10" t="s">
        <v>773</v>
      </c>
    </row>
    <row r="6" spans="1:7" ht="15.75" thickBot="1" x14ac:dyDescent="0.3">
      <c r="A6" s="10" t="s">
        <v>762</v>
      </c>
      <c r="B6" s="10">
        <v>5</v>
      </c>
      <c r="C6" s="10" t="s">
        <v>756</v>
      </c>
      <c r="D6" s="10">
        <v>30</v>
      </c>
      <c r="G6" s="10" t="s">
        <v>950</v>
      </c>
    </row>
    <row r="7" spans="1:7" ht="15.75" thickBot="1" x14ac:dyDescent="0.3">
      <c r="A7" s="10" t="s">
        <v>762</v>
      </c>
      <c r="B7" s="10">
        <v>5</v>
      </c>
      <c r="C7" s="10" t="s">
        <v>757</v>
      </c>
      <c r="D7" s="10">
        <v>31</v>
      </c>
      <c r="G7" s="10" t="s">
        <v>778</v>
      </c>
    </row>
    <row r="8" spans="1:7" ht="15.75" thickBot="1" x14ac:dyDescent="0.3">
      <c r="A8" s="10" t="s">
        <v>762</v>
      </c>
      <c r="B8" s="10">
        <v>5</v>
      </c>
      <c r="C8" s="10" t="s">
        <v>758</v>
      </c>
      <c r="D8" s="10">
        <v>34</v>
      </c>
      <c r="G8" s="10" t="s">
        <v>1761</v>
      </c>
    </row>
    <row r="9" spans="1:7" ht="15.75" thickBot="1" x14ac:dyDescent="0.3">
      <c r="A9" s="10" t="s">
        <v>762</v>
      </c>
      <c r="B9" s="10">
        <v>5</v>
      </c>
      <c r="C9" s="10" t="s">
        <v>759</v>
      </c>
      <c r="D9" s="10">
        <v>36</v>
      </c>
      <c r="G9" s="10" t="s">
        <v>1762</v>
      </c>
    </row>
    <row r="10" spans="1:7" ht="15.75" thickBot="1" x14ac:dyDescent="0.3">
      <c r="A10" s="10" t="s">
        <v>762</v>
      </c>
      <c r="B10" s="10">
        <v>5</v>
      </c>
      <c r="C10" s="10" t="s">
        <v>760</v>
      </c>
      <c r="D10" s="10">
        <v>38</v>
      </c>
      <c r="G10" s="10" t="s">
        <v>1763</v>
      </c>
    </row>
    <row r="11" spans="1:7" ht="15.75" thickBot="1" x14ac:dyDescent="0.3">
      <c r="A11" s="10" t="s">
        <v>762</v>
      </c>
      <c r="B11" s="10">
        <v>5</v>
      </c>
      <c r="C11" s="10" t="s">
        <v>761</v>
      </c>
      <c r="D11" s="10">
        <v>40</v>
      </c>
      <c r="G11" s="10" t="s">
        <v>907</v>
      </c>
    </row>
    <row r="12" spans="1:7" ht="15.75" thickBot="1" x14ac:dyDescent="0.3">
      <c r="A12" s="10" t="s">
        <v>762</v>
      </c>
      <c r="B12" s="10">
        <v>5</v>
      </c>
      <c r="C12" s="10" t="s">
        <v>762</v>
      </c>
      <c r="D12" s="10">
        <v>42</v>
      </c>
      <c r="G12" s="10" t="s">
        <v>1764</v>
      </c>
    </row>
    <row r="13" spans="1:7" ht="15.75" thickBot="1" x14ac:dyDescent="0.3">
      <c r="A13" s="10" t="s">
        <v>762</v>
      </c>
      <c r="B13" s="10">
        <v>5</v>
      </c>
      <c r="C13" s="10" t="s">
        <v>763</v>
      </c>
      <c r="D13" s="10">
        <v>44</v>
      </c>
      <c r="G13" s="10" t="s">
        <v>1765</v>
      </c>
    </row>
    <row r="14" spans="1:7" ht="15.75" thickBot="1" x14ac:dyDescent="0.3">
      <c r="A14" s="10" t="s">
        <v>762</v>
      </c>
      <c r="B14" s="10">
        <v>5</v>
      </c>
      <c r="C14" s="10" t="s">
        <v>764</v>
      </c>
      <c r="D14" s="10">
        <v>45</v>
      </c>
      <c r="G14" s="10" t="s">
        <v>1766</v>
      </c>
    </row>
    <row r="15" spans="1:7" ht="15.75" thickBot="1" x14ac:dyDescent="0.3">
      <c r="A15" s="10" t="s">
        <v>762</v>
      </c>
      <c r="B15" s="10">
        <v>5</v>
      </c>
      <c r="C15" s="10" t="s">
        <v>765</v>
      </c>
      <c r="D15" s="10">
        <v>51</v>
      </c>
      <c r="G15" s="10" t="s">
        <v>1767</v>
      </c>
    </row>
    <row r="16" spans="1:7" ht="15.75" thickBot="1" x14ac:dyDescent="0.3">
      <c r="A16" s="10" t="s">
        <v>762</v>
      </c>
      <c r="B16" s="10">
        <v>5</v>
      </c>
      <c r="C16" s="10" t="s">
        <v>766</v>
      </c>
      <c r="D16" s="10">
        <v>55</v>
      </c>
      <c r="G16" s="10" t="s">
        <v>1768</v>
      </c>
    </row>
    <row r="17" spans="1:7" ht="15.75" thickBot="1" x14ac:dyDescent="0.3">
      <c r="A17" s="10" t="s">
        <v>762</v>
      </c>
      <c r="B17" s="10">
        <v>5</v>
      </c>
      <c r="C17" s="10" t="s">
        <v>767</v>
      </c>
      <c r="D17" s="10">
        <v>59</v>
      </c>
      <c r="G17" s="10" t="s">
        <v>1769</v>
      </c>
    </row>
    <row r="18" spans="1:7" ht="15.75" thickBot="1" x14ac:dyDescent="0.3">
      <c r="A18" s="10" t="s">
        <v>762</v>
      </c>
      <c r="B18" s="10">
        <v>5</v>
      </c>
      <c r="C18" s="10" t="s">
        <v>768</v>
      </c>
      <c r="D18" s="10">
        <v>79</v>
      </c>
      <c r="G18" s="10" t="s">
        <v>824</v>
      </c>
    </row>
    <row r="19" spans="1:7" ht="15.75" thickBot="1" x14ac:dyDescent="0.3">
      <c r="A19" s="10" t="s">
        <v>762</v>
      </c>
      <c r="B19" s="10">
        <v>5</v>
      </c>
      <c r="C19" s="10" t="s">
        <v>769</v>
      </c>
      <c r="D19" s="10">
        <v>86</v>
      </c>
      <c r="G19" s="10" t="s">
        <v>1781</v>
      </c>
    </row>
    <row r="20" spans="1:7" ht="15.75" thickBot="1" x14ac:dyDescent="0.3">
      <c r="A20" s="10" t="s">
        <v>762</v>
      </c>
      <c r="B20" s="10">
        <v>5</v>
      </c>
      <c r="C20" s="10" t="s">
        <v>770</v>
      </c>
      <c r="D20" s="10">
        <v>88</v>
      </c>
      <c r="G20" s="10" t="s">
        <v>1770</v>
      </c>
    </row>
    <row r="21" spans="1:7" ht="15.75" thickBot="1" x14ac:dyDescent="0.3">
      <c r="A21" s="10" t="s">
        <v>762</v>
      </c>
      <c r="B21" s="10">
        <v>5</v>
      </c>
      <c r="C21" s="10" t="s">
        <v>771</v>
      </c>
      <c r="D21" s="10">
        <v>91</v>
      </c>
      <c r="G21" s="10" t="s">
        <v>1081</v>
      </c>
    </row>
    <row r="22" spans="1:7" ht="15.75" thickBot="1" x14ac:dyDescent="0.3">
      <c r="A22" s="10" t="s">
        <v>762</v>
      </c>
      <c r="B22" s="10">
        <v>5</v>
      </c>
      <c r="C22" s="10" t="s">
        <v>772</v>
      </c>
      <c r="D22" s="10">
        <v>93</v>
      </c>
      <c r="G22" s="10" t="s">
        <v>1771</v>
      </c>
    </row>
    <row r="23" spans="1:7" ht="15.75" thickBot="1" x14ac:dyDescent="0.3">
      <c r="A23" s="10" t="s">
        <v>762</v>
      </c>
      <c r="B23" s="10">
        <v>5</v>
      </c>
      <c r="C23" s="10" t="s">
        <v>773</v>
      </c>
      <c r="D23" s="10">
        <v>101</v>
      </c>
      <c r="G23" s="10" t="s">
        <v>1586</v>
      </c>
    </row>
    <row r="24" spans="1:7" ht="15.75" thickBot="1" x14ac:dyDescent="0.3">
      <c r="A24" s="10" t="s">
        <v>762</v>
      </c>
      <c r="B24" s="10">
        <v>5</v>
      </c>
      <c r="C24" s="10" t="s">
        <v>774</v>
      </c>
      <c r="D24" s="10">
        <v>107</v>
      </c>
      <c r="G24" s="10" t="s">
        <v>1772</v>
      </c>
    </row>
    <row r="25" spans="1:7" ht="15.75" thickBot="1" x14ac:dyDescent="0.3">
      <c r="A25" s="10" t="s">
        <v>762</v>
      </c>
      <c r="B25" s="10">
        <v>5</v>
      </c>
      <c r="C25" s="10" t="s">
        <v>775</v>
      </c>
      <c r="D25" s="10">
        <v>113</v>
      </c>
      <c r="G25" s="10" t="s">
        <v>1773</v>
      </c>
    </row>
    <row r="26" spans="1:7" ht="15.75" thickBot="1" x14ac:dyDescent="0.3">
      <c r="A26" s="10" t="s">
        <v>762</v>
      </c>
      <c r="B26" s="10">
        <v>5</v>
      </c>
      <c r="C26" s="10" t="s">
        <v>776</v>
      </c>
      <c r="D26" s="10">
        <v>120</v>
      </c>
      <c r="G26" s="10" t="s">
        <v>1693</v>
      </c>
    </row>
    <row r="27" spans="1:7" ht="15.75" thickBot="1" x14ac:dyDescent="0.3">
      <c r="A27" s="10" t="s">
        <v>762</v>
      </c>
      <c r="B27" s="10">
        <v>5</v>
      </c>
      <c r="C27" s="10" t="s">
        <v>777</v>
      </c>
      <c r="D27" s="10">
        <v>125</v>
      </c>
      <c r="G27" s="10" t="s">
        <v>1774</v>
      </c>
    </row>
    <row r="28" spans="1:7" ht="15.75" thickBot="1" x14ac:dyDescent="0.3">
      <c r="A28" s="10" t="s">
        <v>762</v>
      </c>
      <c r="B28" s="10">
        <v>5</v>
      </c>
      <c r="C28" s="10" t="s">
        <v>778</v>
      </c>
      <c r="D28" s="10">
        <v>129</v>
      </c>
      <c r="G28" s="10" t="s">
        <v>1775</v>
      </c>
    </row>
    <row r="29" spans="1:7" ht="15.75" thickBot="1" x14ac:dyDescent="0.3">
      <c r="A29" s="10" t="s">
        <v>762</v>
      </c>
      <c r="B29" s="10">
        <v>5</v>
      </c>
      <c r="C29" s="10" t="s">
        <v>779</v>
      </c>
      <c r="D29" s="10">
        <v>134</v>
      </c>
      <c r="G29" s="10" t="s">
        <v>840</v>
      </c>
    </row>
    <row r="30" spans="1:7" ht="15.75" thickBot="1" x14ac:dyDescent="0.3">
      <c r="A30" s="10" t="s">
        <v>762</v>
      </c>
      <c r="B30" s="10">
        <v>5</v>
      </c>
      <c r="C30" s="10" t="s">
        <v>780</v>
      </c>
      <c r="D30" s="10">
        <v>138</v>
      </c>
      <c r="G30" s="10" t="s">
        <v>1776</v>
      </c>
    </row>
    <row r="31" spans="1:7" ht="15.75" thickBot="1" x14ac:dyDescent="0.3">
      <c r="A31" s="10" t="s">
        <v>762</v>
      </c>
      <c r="B31" s="10">
        <v>5</v>
      </c>
      <c r="C31" s="10" t="s">
        <v>781</v>
      </c>
      <c r="D31" s="10">
        <v>142</v>
      </c>
      <c r="G31" s="10" t="s">
        <v>1777</v>
      </c>
    </row>
    <row r="32" spans="1:7" ht="15.75" thickBot="1" x14ac:dyDescent="0.3">
      <c r="A32" s="10" t="s">
        <v>762</v>
      </c>
      <c r="B32" s="10">
        <v>5</v>
      </c>
      <c r="C32" s="10" t="s">
        <v>782</v>
      </c>
      <c r="D32" s="10">
        <v>145</v>
      </c>
      <c r="G32" s="10" t="s">
        <v>1778</v>
      </c>
    </row>
    <row r="33" spans="1:7" ht="15.75" thickBot="1" x14ac:dyDescent="0.3">
      <c r="A33" s="10" t="s">
        <v>762</v>
      </c>
      <c r="B33" s="10">
        <v>5</v>
      </c>
      <c r="C33" s="10" t="s">
        <v>783</v>
      </c>
      <c r="D33" s="10">
        <v>147</v>
      </c>
      <c r="G33" s="10" t="s">
        <v>1779</v>
      </c>
    </row>
    <row r="34" spans="1:7" ht="15.75" thickBot="1" x14ac:dyDescent="0.3">
      <c r="A34" s="10" t="s">
        <v>762</v>
      </c>
      <c r="B34" s="10">
        <v>5</v>
      </c>
      <c r="C34" s="10" t="s">
        <v>784</v>
      </c>
      <c r="D34" s="10">
        <v>148</v>
      </c>
      <c r="G34" s="10" t="s">
        <v>1780</v>
      </c>
    </row>
    <row r="35" spans="1:7" ht="15.75" thickBot="1" x14ac:dyDescent="0.3">
      <c r="A35" s="10" t="s">
        <v>762</v>
      </c>
      <c r="B35" s="10">
        <v>5</v>
      </c>
      <c r="C35" s="10" t="s">
        <v>785</v>
      </c>
      <c r="D35" s="10">
        <v>150</v>
      </c>
    </row>
    <row r="36" spans="1:7" ht="15.75" thickBot="1" x14ac:dyDescent="0.3">
      <c r="A36" s="10" t="s">
        <v>762</v>
      </c>
      <c r="B36" s="10">
        <v>5</v>
      </c>
      <c r="C36" s="10" t="s">
        <v>786</v>
      </c>
      <c r="D36" s="10">
        <v>154</v>
      </c>
    </row>
    <row r="37" spans="1:7" ht="15.75" thickBot="1" x14ac:dyDescent="0.3">
      <c r="A37" s="10" t="s">
        <v>762</v>
      </c>
      <c r="B37" s="10">
        <v>5</v>
      </c>
      <c r="C37" s="10" t="s">
        <v>787</v>
      </c>
      <c r="D37" s="10">
        <v>172</v>
      </c>
    </row>
    <row r="38" spans="1:7" ht="15.75" thickBot="1" x14ac:dyDescent="0.3">
      <c r="A38" s="10" t="s">
        <v>762</v>
      </c>
      <c r="B38" s="10">
        <v>5</v>
      </c>
      <c r="C38" s="10" t="s">
        <v>788</v>
      </c>
      <c r="D38" s="10">
        <v>190</v>
      </c>
    </row>
    <row r="39" spans="1:7" ht="15.75" thickBot="1" x14ac:dyDescent="0.3">
      <c r="A39" s="10" t="s">
        <v>762</v>
      </c>
      <c r="B39" s="10">
        <v>5</v>
      </c>
      <c r="C39" s="10" t="s">
        <v>789</v>
      </c>
      <c r="D39" s="10">
        <v>197</v>
      </c>
    </row>
    <row r="40" spans="1:7" ht="15.75" thickBot="1" x14ac:dyDescent="0.3">
      <c r="A40" s="10" t="s">
        <v>762</v>
      </c>
      <c r="B40" s="10">
        <v>5</v>
      </c>
      <c r="C40" s="10" t="s">
        <v>790</v>
      </c>
      <c r="D40" s="10">
        <v>206</v>
      </c>
    </row>
    <row r="41" spans="1:7" ht="15.75" thickBot="1" x14ac:dyDescent="0.3">
      <c r="A41" s="10" t="s">
        <v>762</v>
      </c>
      <c r="B41" s="10">
        <v>5</v>
      </c>
      <c r="C41" s="10" t="s">
        <v>791</v>
      </c>
      <c r="D41" s="10">
        <v>209</v>
      </c>
    </row>
    <row r="42" spans="1:7" ht="15.75" thickBot="1" x14ac:dyDescent="0.3">
      <c r="A42" s="10" t="s">
        <v>762</v>
      </c>
      <c r="B42" s="10">
        <v>5</v>
      </c>
      <c r="C42" s="10" t="s">
        <v>792</v>
      </c>
      <c r="D42" s="10">
        <v>212</v>
      </c>
    </row>
    <row r="43" spans="1:7" ht="15.75" thickBot="1" x14ac:dyDescent="0.3">
      <c r="A43" s="10" t="s">
        <v>762</v>
      </c>
      <c r="B43" s="10">
        <v>5</v>
      </c>
      <c r="C43" s="10" t="s">
        <v>793</v>
      </c>
      <c r="D43" s="10">
        <v>234</v>
      </c>
    </row>
    <row r="44" spans="1:7" ht="15.75" thickBot="1" x14ac:dyDescent="0.3">
      <c r="A44" s="10" t="s">
        <v>762</v>
      </c>
      <c r="B44" s="10">
        <v>5</v>
      </c>
      <c r="C44" s="10" t="s">
        <v>794</v>
      </c>
      <c r="D44" s="10">
        <v>237</v>
      </c>
    </row>
    <row r="45" spans="1:7" ht="15.75" thickBot="1" x14ac:dyDescent="0.3">
      <c r="A45" s="10" t="s">
        <v>762</v>
      </c>
      <c r="B45" s="10">
        <v>5</v>
      </c>
      <c r="C45" s="10" t="s">
        <v>795</v>
      </c>
      <c r="D45" s="10">
        <v>240</v>
      </c>
    </row>
    <row r="46" spans="1:7" ht="15.75" thickBot="1" x14ac:dyDescent="0.3">
      <c r="A46" s="10" t="s">
        <v>762</v>
      </c>
      <c r="B46" s="10">
        <v>5</v>
      </c>
      <c r="C46" s="10" t="s">
        <v>796</v>
      </c>
      <c r="D46" s="10">
        <v>250</v>
      </c>
    </row>
    <row r="47" spans="1:7" ht="15.75" thickBot="1" x14ac:dyDescent="0.3">
      <c r="A47" s="10" t="s">
        <v>762</v>
      </c>
      <c r="B47" s="10">
        <v>5</v>
      </c>
      <c r="C47" s="10" t="s">
        <v>797</v>
      </c>
      <c r="D47" s="10">
        <v>264</v>
      </c>
    </row>
    <row r="48" spans="1:7" ht="15.75" thickBot="1" x14ac:dyDescent="0.3">
      <c r="A48" s="10" t="s">
        <v>762</v>
      </c>
      <c r="B48" s="10">
        <v>5</v>
      </c>
      <c r="C48" s="10" t="s">
        <v>798</v>
      </c>
      <c r="D48" s="10">
        <v>266</v>
      </c>
    </row>
    <row r="49" spans="1:4" ht="15.75" thickBot="1" x14ac:dyDescent="0.3">
      <c r="A49" s="10" t="s">
        <v>762</v>
      </c>
      <c r="B49" s="10">
        <v>5</v>
      </c>
      <c r="C49" s="10" t="s">
        <v>799</v>
      </c>
      <c r="D49" s="10">
        <v>282</v>
      </c>
    </row>
    <row r="50" spans="1:4" ht="15.75" thickBot="1" x14ac:dyDescent="0.3">
      <c r="A50" s="10" t="s">
        <v>762</v>
      </c>
      <c r="B50" s="10">
        <v>5</v>
      </c>
      <c r="C50" s="10" t="s">
        <v>800</v>
      </c>
      <c r="D50" s="10">
        <v>284</v>
      </c>
    </row>
    <row r="51" spans="1:4" ht="15.75" thickBot="1" x14ac:dyDescent="0.3">
      <c r="A51" s="10" t="s">
        <v>762</v>
      </c>
      <c r="B51" s="10">
        <v>5</v>
      </c>
      <c r="C51" s="10" t="s">
        <v>801</v>
      </c>
      <c r="D51" s="10">
        <v>306</v>
      </c>
    </row>
    <row r="52" spans="1:4" ht="15.75" thickBot="1" x14ac:dyDescent="0.3">
      <c r="A52" s="10" t="s">
        <v>762</v>
      </c>
      <c r="B52" s="10">
        <v>5</v>
      </c>
      <c r="C52" s="10" t="s">
        <v>802</v>
      </c>
      <c r="D52" s="10">
        <v>308</v>
      </c>
    </row>
    <row r="53" spans="1:4" ht="15.75" thickBot="1" x14ac:dyDescent="0.3">
      <c r="A53" s="10" t="s">
        <v>762</v>
      </c>
      <c r="B53" s="10">
        <v>5</v>
      </c>
      <c r="C53" s="10" t="s">
        <v>803</v>
      </c>
      <c r="D53" s="10">
        <v>310</v>
      </c>
    </row>
    <row r="54" spans="1:4" ht="15.75" thickBot="1" x14ac:dyDescent="0.3">
      <c r="A54" s="10" t="s">
        <v>762</v>
      </c>
      <c r="B54" s="10">
        <v>5</v>
      </c>
      <c r="C54" s="10" t="s">
        <v>804</v>
      </c>
      <c r="D54" s="10">
        <v>313</v>
      </c>
    </row>
    <row r="55" spans="1:4" ht="15.75" thickBot="1" x14ac:dyDescent="0.3">
      <c r="A55" s="10" t="s">
        <v>762</v>
      </c>
      <c r="B55" s="10">
        <v>5</v>
      </c>
      <c r="C55" s="10" t="s">
        <v>805</v>
      </c>
      <c r="D55" s="10">
        <v>315</v>
      </c>
    </row>
    <row r="56" spans="1:4" ht="15.75" thickBot="1" x14ac:dyDescent="0.3">
      <c r="A56" s="10" t="s">
        <v>762</v>
      </c>
      <c r="B56" s="10">
        <v>5</v>
      </c>
      <c r="C56" s="10" t="s">
        <v>806</v>
      </c>
      <c r="D56" s="10">
        <v>318</v>
      </c>
    </row>
    <row r="57" spans="1:4" ht="15.75" thickBot="1" x14ac:dyDescent="0.3">
      <c r="A57" s="10" t="s">
        <v>762</v>
      </c>
      <c r="B57" s="10">
        <v>5</v>
      </c>
      <c r="C57" s="10" t="s">
        <v>807</v>
      </c>
      <c r="D57" s="10">
        <v>321</v>
      </c>
    </row>
    <row r="58" spans="1:4" ht="15.75" thickBot="1" x14ac:dyDescent="0.3">
      <c r="A58" s="10" t="s">
        <v>762</v>
      </c>
      <c r="B58" s="10">
        <v>5</v>
      </c>
      <c r="C58" s="10" t="s">
        <v>808</v>
      </c>
      <c r="D58" s="10">
        <v>347</v>
      </c>
    </row>
    <row r="59" spans="1:4" ht="15.75" thickBot="1" x14ac:dyDescent="0.3">
      <c r="A59" s="10" t="s">
        <v>762</v>
      </c>
      <c r="B59" s="10">
        <v>5</v>
      </c>
      <c r="C59" s="10" t="s">
        <v>809</v>
      </c>
      <c r="D59" s="10">
        <v>353</v>
      </c>
    </row>
    <row r="60" spans="1:4" ht="15.75" thickBot="1" x14ac:dyDescent="0.3">
      <c r="A60" s="10" t="s">
        <v>762</v>
      </c>
      <c r="B60" s="10">
        <v>5</v>
      </c>
      <c r="C60" s="10" t="s">
        <v>810</v>
      </c>
      <c r="D60" s="10">
        <v>360</v>
      </c>
    </row>
    <row r="61" spans="1:4" ht="15.75" thickBot="1" x14ac:dyDescent="0.3">
      <c r="A61" s="10" t="s">
        <v>762</v>
      </c>
      <c r="B61" s="10">
        <v>5</v>
      </c>
      <c r="C61" s="10" t="s">
        <v>811</v>
      </c>
      <c r="D61" s="10">
        <v>361</v>
      </c>
    </row>
    <row r="62" spans="1:4" ht="15.75" thickBot="1" x14ac:dyDescent="0.3">
      <c r="A62" s="10" t="s">
        <v>762</v>
      </c>
      <c r="B62" s="10">
        <v>5</v>
      </c>
      <c r="C62" s="10" t="s">
        <v>812</v>
      </c>
      <c r="D62" s="10">
        <v>364</v>
      </c>
    </row>
    <row r="63" spans="1:4" ht="15.75" thickBot="1" x14ac:dyDescent="0.3">
      <c r="A63" s="10" t="s">
        <v>762</v>
      </c>
      <c r="B63" s="10">
        <v>5</v>
      </c>
      <c r="C63" s="10" t="s">
        <v>813</v>
      </c>
      <c r="D63" s="10">
        <v>368</v>
      </c>
    </row>
    <row r="64" spans="1:4" ht="15.75" thickBot="1" x14ac:dyDescent="0.3">
      <c r="A64" s="10" t="s">
        <v>762</v>
      </c>
      <c r="B64" s="10">
        <v>5</v>
      </c>
      <c r="C64" s="10" t="s">
        <v>814</v>
      </c>
      <c r="D64" s="10">
        <v>376</v>
      </c>
    </row>
    <row r="65" spans="1:4" ht="15.75" thickBot="1" x14ac:dyDescent="0.3">
      <c r="A65" s="10" t="s">
        <v>762</v>
      </c>
      <c r="B65" s="10">
        <v>5</v>
      </c>
      <c r="C65" s="10" t="s">
        <v>815</v>
      </c>
      <c r="D65" s="10">
        <v>380</v>
      </c>
    </row>
    <row r="66" spans="1:4" ht="15.75" thickBot="1" x14ac:dyDescent="0.3">
      <c r="A66" s="10" t="s">
        <v>762</v>
      </c>
      <c r="B66" s="10">
        <v>5</v>
      </c>
      <c r="C66" s="10" t="s">
        <v>816</v>
      </c>
      <c r="D66" s="10">
        <v>390</v>
      </c>
    </row>
    <row r="67" spans="1:4" ht="15.75" thickBot="1" x14ac:dyDescent="0.3">
      <c r="A67" s="10" t="s">
        <v>762</v>
      </c>
      <c r="B67" s="10">
        <v>5</v>
      </c>
      <c r="C67" s="10" t="s">
        <v>817</v>
      </c>
      <c r="D67" s="10">
        <v>400</v>
      </c>
    </row>
    <row r="68" spans="1:4" ht="15.75" thickBot="1" x14ac:dyDescent="0.3">
      <c r="A68" s="10" t="s">
        <v>762</v>
      </c>
      <c r="B68" s="10">
        <v>5</v>
      </c>
      <c r="C68" s="10" t="s">
        <v>818</v>
      </c>
      <c r="D68" s="10">
        <v>411</v>
      </c>
    </row>
    <row r="69" spans="1:4" ht="15.75" thickBot="1" x14ac:dyDescent="0.3">
      <c r="A69" s="10" t="s">
        <v>762</v>
      </c>
      <c r="B69" s="10">
        <v>5</v>
      </c>
      <c r="C69" s="10" t="s">
        <v>819</v>
      </c>
      <c r="D69" s="10">
        <v>425</v>
      </c>
    </row>
    <row r="70" spans="1:4" ht="15.75" thickBot="1" x14ac:dyDescent="0.3">
      <c r="A70" s="10" t="s">
        <v>762</v>
      </c>
      <c r="B70" s="10">
        <v>5</v>
      </c>
      <c r="C70" s="10" t="s">
        <v>820</v>
      </c>
      <c r="D70" s="10">
        <v>440</v>
      </c>
    </row>
    <row r="71" spans="1:4" ht="15.75" thickBot="1" x14ac:dyDescent="0.3">
      <c r="A71" s="10" t="s">
        <v>762</v>
      </c>
      <c r="B71" s="10">
        <v>5</v>
      </c>
      <c r="C71" s="10" t="s">
        <v>821</v>
      </c>
      <c r="D71" s="10">
        <v>467</v>
      </c>
    </row>
    <row r="72" spans="1:4" ht="15.75" thickBot="1" x14ac:dyDescent="0.3">
      <c r="A72" s="10" t="s">
        <v>762</v>
      </c>
      <c r="B72" s="10">
        <v>5</v>
      </c>
      <c r="C72" s="10" t="s">
        <v>822</v>
      </c>
      <c r="D72" s="10">
        <v>475</v>
      </c>
    </row>
    <row r="73" spans="1:4" ht="15.75" thickBot="1" x14ac:dyDescent="0.3">
      <c r="A73" s="10" t="s">
        <v>762</v>
      </c>
      <c r="B73" s="10">
        <v>5</v>
      </c>
      <c r="C73" s="10" t="s">
        <v>823</v>
      </c>
      <c r="D73" s="10">
        <v>480</v>
      </c>
    </row>
    <row r="74" spans="1:4" ht="15.75" thickBot="1" x14ac:dyDescent="0.3">
      <c r="A74" s="10" t="s">
        <v>762</v>
      </c>
      <c r="B74" s="10">
        <v>5</v>
      </c>
      <c r="C74" s="10" t="s">
        <v>824</v>
      </c>
      <c r="D74" s="10">
        <v>483</v>
      </c>
    </row>
    <row r="75" spans="1:4" ht="15.75" thickBot="1" x14ac:dyDescent="0.3">
      <c r="A75" s="10" t="s">
        <v>762</v>
      </c>
      <c r="B75" s="10">
        <v>5</v>
      </c>
      <c r="C75" s="10" t="s">
        <v>825</v>
      </c>
      <c r="D75" s="10">
        <v>490</v>
      </c>
    </row>
    <row r="76" spans="1:4" ht="15.75" thickBot="1" x14ac:dyDescent="0.3">
      <c r="A76" s="10" t="s">
        <v>762</v>
      </c>
      <c r="B76" s="10">
        <v>5</v>
      </c>
      <c r="C76" s="10" t="s">
        <v>826</v>
      </c>
      <c r="D76" s="10">
        <v>495</v>
      </c>
    </row>
    <row r="77" spans="1:4" ht="15.75" thickBot="1" x14ac:dyDescent="0.3">
      <c r="A77" s="10" t="s">
        <v>762</v>
      </c>
      <c r="B77" s="10">
        <v>5</v>
      </c>
      <c r="C77" s="10" t="s">
        <v>827</v>
      </c>
      <c r="D77" s="10">
        <v>501</v>
      </c>
    </row>
    <row r="78" spans="1:4" ht="15.75" thickBot="1" x14ac:dyDescent="0.3">
      <c r="A78" s="10" t="s">
        <v>762</v>
      </c>
      <c r="B78" s="10">
        <v>5</v>
      </c>
      <c r="C78" s="10" t="s">
        <v>828</v>
      </c>
      <c r="D78" s="10">
        <v>541</v>
      </c>
    </row>
    <row r="79" spans="1:4" ht="15.75" thickBot="1" x14ac:dyDescent="0.3">
      <c r="A79" s="10" t="s">
        <v>762</v>
      </c>
      <c r="B79" s="10">
        <v>5</v>
      </c>
      <c r="C79" s="10" t="s">
        <v>829</v>
      </c>
      <c r="D79" s="10">
        <v>543</v>
      </c>
    </row>
    <row r="80" spans="1:4" ht="15.75" thickBot="1" x14ac:dyDescent="0.3">
      <c r="A80" s="10" t="s">
        <v>762</v>
      </c>
      <c r="B80" s="10">
        <v>5</v>
      </c>
      <c r="C80" s="10" t="s">
        <v>830</v>
      </c>
      <c r="D80" s="10">
        <v>576</v>
      </c>
    </row>
    <row r="81" spans="1:4" ht="15.75" thickBot="1" x14ac:dyDescent="0.3">
      <c r="A81" s="10" t="s">
        <v>762</v>
      </c>
      <c r="B81" s="10">
        <v>5</v>
      </c>
      <c r="C81" s="10" t="s">
        <v>831</v>
      </c>
      <c r="D81" s="10">
        <v>579</v>
      </c>
    </row>
    <row r="82" spans="1:4" ht="15.75" thickBot="1" x14ac:dyDescent="0.3">
      <c r="A82" s="10" t="s">
        <v>762</v>
      </c>
      <c r="B82" s="10">
        <v>5</v>
      </c>
      <c r="C82" s="10" t="s">
        <v>832</v>
      </c>
      <c r="D82" s="10">
        <v>585</v>
      </c>
    </row>
    <row r="83" spans="1:4" ht="15.75" thickBot="1" x14ac:dyDescent="0.3">
      <c r="A83" s="10" t="s">
        <v>762</v>
      </c>
      <c r="B83" s="10">
        <v>5</v>
      </c>
      <c r="C83" s="10" t="s">
        <v>833</v>
      </c>
      <c r="D83" s="10">
        <v>591</v>
      </c>
    </row>
    <row r="84" spans="1:4" ht="15.75" thickBot="1" x14ac:dyDescent="0.3">
      <c r="A84" s="10" t="s">
        <v>762</v>
      </c>
      <c r="B84" s="10">
        <v>5</v>
      </c>
      <c r="C84" s="10" t="s">
        <v>834</v>
      </c>
      <c r="D84" s="10">
        <v>604</v>
      </c>
    </row>
    <row r="85" spans="1:4" ht="15.75" thickBot="1" x14ac:dyDescent="0.3">
      <c r="A85" s="10" t="s">
        <v>762</v>
      </c>
      <c r="B85" s="10">
        <v>5</v>
      </c>
      <c r="C85" s="10" t="s">
        <v>835</v>
      </c>
      <c r="D85" s="10">
        <v>607</v>
      </c>
    </row>
    <row r="86" spans="1:4" ht="15.75" thickBot="1" x14ac:dyDescent="0.3">
      <c r="A86" s="10" t="s">
        <v>762</v>
      </c>
      <c r="B86" s="10">
        <v>5</v>
      </c>
      <c r="C86" s="10" t="s">
        <v>836</v>
      </c>
      <c r="D86" s="10">
        <v>615</v>
      </c>
    </row>
    <row r="87" spans="1:4" ht="15.75" thickBot="1" x14ac:dyDescent="0.3">
      <c r="A87" s="10" t="s">
        <v>762</v>
      </c>
      <c r="B87" s="10">
        <v>5</v>
      </c>
      <c r="C87" s="10" t="s">
        <v>837</v>
      </c>
      <c r="D87" s="10">
        <v>628</v>
      </c>
    </row>
    <row r="88" spans="1:4" ht="15.75" thickBot="1" x14ac:dyDescent="0.3">
      <c r="A88" s="10" t="s">
        <v>762</v>
      </c>
      <c r="B88" s="10">
        <v>5</v>
      </c>
      <c r="C88" s="10" t="s">
        <v>838</v>
      </c>
      <c r="D88" s="10">
        <v>631</v>
      </c>
    </row>
    <row r="89" spans="1:4" ht="15.75" thickBot="1" x14ac:dyDescent="0.3">
      <c r="A89" s="10" t="s">
        <v>762</v>
      </c>
      <c r="B89" s="10">
        <v>5</v>
      </c>
      <c r="C89" s="10" t="s">
        <v>839</v>
      </c>
      <c r="D89" s="10">
        <v>642</v>
      </c>
    </row>
    <row r="90" spans="1:4" ht="15.75" thickBot="1" x14ac:dyDescent="0.3">
      <c r="A90" s="10" t="s">
        <v>762</v>
      </c>
      <c r="B90" s="10">
        <v>5</v>
      </c>
      <c r="C90" s="10" t="s">
        <v>840</v>
      </c>
      <c r="D90" s="10">
        <v>647</v>
      </c>
    </row>
    <row r="91" spans="1:4" ht="15.75" thickBot="1" x14ac:dyDescent="0.3">
      <c r="A91" s="10" t="s">
        <v>762</v>
      </c>
      <c r="B91" s="10">
        <v>5</v>
      </c>
      <c r="C91" s="10" t="s">
        <v>841</v>
      </c>
      <c r="D91" s="10">
        <v>649</v>
      </c>
    </row>
    <row r="92" spans="1:4" ht="15.75" thickBot="1" x14ac:dyDescent="0.3">
      <c r="A92" s="10" t="s">
        <v>762</v>
      </c>
      <c r="B92" s="10">
        <v>5</v>
      </c>
      <c r="C92" s="10" t="s">
        <v>842</v>
      </c>
      <c r="D92" s="10">
        <v>652</v>
      </c>
    </row>
    <row r="93" spans="1:4" ht="15.75" thickBot="1" x14ac:dyDescent="0.3">
      <c r="A93" s="10" t="s">
        <v>762</v>
      </c>
      <c r="B93" s="10">
        <v>5</v>
      </c>
      <c r="C93" s="10" t="s">
        <v>843</v>
      </c>
      <c r="D93" s="10">
        <v>656</v>
      </c>
    </row>
    <row r="94" spans="1:4" ht="15.75" thickBot="1" x14ac:dyDescent="0.3">
      <c r="A94" s="10" t="s">
        <v>762</v>
      </c>
      <c r="B94" s="10">
        <v>5</v>
      </c>
      <c r="C94" s="10" t="s">
        <v>844</v>
      </c>
      <c r="D94" s="10">
        <v>658</v>
      </c>
    </row>
    <row r="95" spans="1:4" ht="15.75" thickBot="1" x14ac:dyDescent="0.3">
      <c r="A95" s="10" t="s">
        <v>762</v>
      </c>
      <c r="B95" s="10">
        <v>5</v>
      </c>
      <c r="C95" s="10" t="s">
        <v>845</v>
      </c>
      <c r="D95" s="10">
        <v>659</v>
      </c>
    </row>
    <row r="96" spans="1:4" ht="15.75" thickBot="1" x14ac:dyDescent="0.3">
      <c r="A96" s="10" t="s">
        <v>762</v>
      </c>
      <c r="B96" s="10">
        <v>5</v>
      </c>
      <c r="C96" s="10" t="s">
        <v>846</v>
      </c>
      <c r="D96" s="10">
        <v>660</v>
      </c>
    </row>
    <row r="97" spans="1:4" ht="15.75" thickBot="1" x14ac:dyDescent="0.3">
      <c r="A97" s="10" t="s">
        <v>762</v>
      </c>
      <c r="B97" s="10">
        <v>5</v>
      </c>
      <c r="C97" s="10" t="s">
        <v>847</v>
      </c>
      <c r="D97" s="10">
        <v>664</v>
      </c>
    </row>
    <row r="98" spans="1:4" ht="15.75" thickBot="1" x14ac:dyDescent="0.3">
      <c r="A98" s="10" t="s">
        <v>762</v>
      </c>
      <c r="B98" s="10">
        <v>5</v>
      </c>
      <c r="C98" s="10" t="s">
        <v>848</v>
      </c>
      <c r="D98" s="10">
        <v>665</v>
      </c>
    </row>
    <row r="99" spans="1:4" ht="15.75" thickBot="1" x14ac:dyDescent="0.3">
      <c r="A99" s="10" t="s">
        <v>762</v>
      </c>
      <c r="B99" s="10">
        <v>5</v>
      </c>
      <c r="C99" s="10" t="s">
        <v>849</v>
      </c>
      <c r="D99" s="10">
        <v>667</v>
      </c>
    </row>
    <row r="100" spans="1:4" ht="15.75" thickBot="1" x14ac:dyDescent="0.3">
      <c r="A100" s="10" t="s">
        <v>762</v>
      </c>
      <c r="B100" s="10">
        <v>5</v>
      </c>
      <c r="C100" s="10" t="s">
        <v>850</v>
      </c>
      <c r="D100" s="10">
        <v>670</v>
      </c>
    </row>
    <row r="101" spans="1:4" ht="15.75" thickBot="1" x14ac:dyDescent="0.3">
      <c r="A101" s="10" t="s">
        <v>762</v>
      </c>
      <c r="B101" s="10">
        <v>5</v>
      </c>
      <c r="C101" s="10" t="s">
        <v>851</v>
      </c>
      <c r="D101" s="10">
        <v>674</v>
      </c>
    </row>
    <row r="102" spans="1:4" ht="15.75" thickBot="1" x14ac:dyDescent="0.3">
      <c r="A102" s="10" t="s">
        <v>762</v>
      </c>
      <c r="B102" s="10">
        <v>5</v>
      </c>
      <c r="C102" s="10" t="s">
        <v>852</v>
      </c>
      <c r="D102" s="10">
        <v>679</v>
      </c>
    </row>
    <row r="103" spans="1:4" ht="15.75" thickBot="1" x14ac:dyDescent="0.3">
      <c r="A103" s="10" t="s">
        <v>762</v>
      </c>
      <c r="B103" s="10">
        <v>5</v>
      </c>
      <c r="C103" s="10" t="s">
        <v>853</v>
      </c>
      <c r="D103" s="10">
        <v>686</v>
      </c>
    </row>
    <row r="104" spans="1:4" ht="15.75" thickBot="1" x14ac:dyDescent="0.3">
      <c r="A104" s="10" t="s">
        <v>762</v>
      </c>
      <c r="B104" s="10">
        <v>5</v>
      </c>
      <c r="C104" s="10" t="s">
        <v>854</v>
      </c>
      <c r="D104" s="10">
        <v>690</v>
      </c>
    </row>
    <row r="105" spans="1:4" ht="15.75" thickBot="1" x14ac:dyDescent="0.3">
      <c r="A105" s="10" t="s">
        <v>762</v>
      </c>
      <c r="B105" s="10">
        <v>5</v>
      </c>
      <c r="C105" s="10" t="s">
        <v>855</v>
      </c>
      <c r="D105" s="10">
        <v>697</v>
      </c>
    </row>
    <row r="106" spans="1:4" ht="15.75" thickBot="1" x14ac:dyDescent="0.3">
      <c r="A106" s="10" t="s">
        <v>762</v>
      </c>
      <c r="B106" s="10">
        <v>5</v>
      </c>
      <c r="C106" s="10" t="s">
        <v>856</v>
      </c>
      <c r="D106" s="10">
        <v>736</v>
      </c>
    </row>
    <row r="107" spans="1:4" ht="15.75" thickBot="1" x14ac:dyDescent="0.3">
      <c r="A107" s="10" t="s">
        <v>762</v>
      </c>
      <c r="B107" s="10">
        <v>5</v>
      </c>
      <c r="C107" s="10" t="s">
        <v>857</v>
      </c>
      <c r="D107" s="10">
        <v>756</v>
      </c>
    </row>
    <row r="108" spans="1:4" ht="15.75" thickBot="1" x14ac:dyDescent="0.3">
      <c r="A108" s="10" t="s">
        <v>762</v>
      </c>
      <c r="B108" s="10">
        <v>5</v>
      </c>
      <c r="C108" s="10" t="s">
        <v>858</v>
      </c>
      <c r="D108" s="10">
        <v>761</v>
      </c>
    </row>
    <row r="109" spans="1:4" ht="15.75" thickBot="1" x14ac:dyDescent="0.3">
      <c r="A109" s="10" t="s">
        <v>762</v>
      </c>
      <c r="B109" s="10">
        <v>5</v>
      </c>
      <c r="C109" s="10" t="s">
        <v>859</v>
      </c>
      <c r="D109" s="10">
        <v>789</v>
      </c>
    </row>
    <row r="110" spans="1:4" ht="15.75" thickBot="1" x14ac:dyDescent="0.3">
      <c r="A110" s="10" t="s">
        <v>762</v>
      </c>
      <c r="B110" s="10">
        <v>5</v>
      </c>
      <c r="C110" s="10" t="s">
        <v>860</v>
      </c>
      <c r="D110" s="10">
        <v>790</v>
      </c>
    </row>
    <row r="111" spans="1:4" ht="15.75" thickBot="1" x14ac:dyDescent="0.3">
      <c r="A111" s="10" t="s">
        <v>762</v>
      </c>
      <c r="B111" s="10">
        <v>5</v>
      </c>
      <c r="C111" s="10" t="s">
        <v>861</v>
      </c>
      <c r="D111" s="10">
        <v>792</v>
      </c>
    </row>
    <row r="112" spans="1:4" ht="15.75" thickBot="1" x14ac:dyDescent="0.3">
      <c r="A112" s="10" t="s">
        <v>762</v>
      </c>
      <c r="B112" s="10">
        <v>5</v>
      </c>
      <c r="C112" s="10" t="s">
        <v>862</v>
      </c>
      <c r="D112" s="10">
        <v>809</v>
      </c>
    </row>
    <row r="113" spans="1:4" ht="15.75" thickBot="1" x14ac:dyDescent="0.3">
      <c r="A113" s="10" t="s">
        <v>762</v>
      </c>
      <c r="B113" s="10">
        <v>5</v>
      </c>
      <c r="C113" s="10" t="s">
        <v>863</v>
      </c>
      <c r="D113" s="10">
        <v>819</v>
      </c>
    </row>
    <row r="114" spans="1:4" ht="15.75" thickBot="1" x14ac:dyDescent="0.3">
      <c r="A114" s="10" t="s">
        <v>762</v>
      </c>
      <c r="B114" s="10">
        <v>5</v>
      </c>
      <c r="C114" s="10" t="s">
        <v>864</v>
      </c>
      <c r="D114" s="10">
        <v>837</v>
      </c>
    </row>
    <row r="115" spans="1:4" ht="15.75" thickBot="1" x14ac:dyDescent="0.3">
      <c r="A115" s="10" t="s">
        <v>762</v>
      </c>
      <c r="B115" s="10">
        <v>5</v>
      </c>
      <c r="C115" s="10" t="s">
        <v>865</v>
      </c>
      <c r="D115" s="10">
        <v>842</v>
      </c>
    </row>
    <row r="116" spans="1:4" ht="15.75" thickBot="1" x14ac:dyDescent="0.3">
      <c r="A116" s="10" t="s">
        <v>762</v>
      </c>
      <c r="B116" s="10">
        <v>5</v>
      </c>
      <c r="C116" s="10" t="s">
        <v>866</v>
      </c>
      <c r="D116" s="10">
        <v>847</v>
      </c>
    </row>
    <row r="117" spans="1:4" ht="15.75" thickBot="1" x14ac:dyDescent="0.3">
      <c r="A117" s="10" t="s">
        <v>762</v>
      </c>
      <c r="B117" s="10">
        <v>5</v>
      </c>
      <c r="C117" s="10" t="s">
        <v>867</v>
      </c>
      <c r="D117" s="10">
        <v>854</v>
      </c>
    </row>
    <row r="118" spans="1:4" ht="15.75" thickBot="1" x14ac:dyDescent="0.3">
      <c r="A118" s="10" t="s">
        <v>762</v>
      </c>
      <c r="B118" s="10">
        <v>5</v>
      </c>
      <c r="C118" s="10" t="s">
        <v>868</v>
      </c>
      <c r="D118" s="10">
        <v>856</v>
      </c>
    </row>
    <row r="119" spans="1:4" ht="15.75" thickBot="1" x14ac:dyDescent="0.3">
      <c r="A119" s="10" t="s">
        <v>762</v>
      </c>
      <c r="B119" s="10">
        <v>5</v>
      </c>
      <c r="C119" s="10" t="s">
        <v>869</v>
      </c>
      <c r="D119" s="10">
        <v>858</v>
      </c>
    </row>
    <row r="120" spans="1:4" ht="15.75" thickBot="1" x14ac:dyDescent="0.3">
      <c r="A120" s="10" t="s">
        <v>762</v>
      </c>
      <c r="B120" s="10">
        <v>5</v>
      </c>
      <c r="C120" s="10" t="s">
        <v>870</v>
      </c>
      <c r="D120" s="10">
        <v>861</v>
      </c>
    </row>
    <row r="121" spans="1:4" ht="15.75" thickBot="1" x14ac:dyDescent="0.3">
      <c r="A121" s="10" t="s">
        <v>762</v>
      </c>
      <c r="B121" s="10">
        <v>5</v>
      </c>
      <c r="C121" s="10" t="s">
        <v>871</v>
      </c>
      <c r="D121" s="10">
        <v>873</v>
      </c>
    </row>
    <row r="122" spans="1:4" ht="15.75" thickBot="1" x14ac:dyDescent="0.3">
      <c r="A122" s="10" t="s">
        <v>762</v>
      </c>
      <c r="B122" s="10">
        <v>5</v>
      </c>
      <c r="C122" s="10" t="s">
        <v>872</v>
      </c>
      <c r="D122" s="10">
        <v>885</v>
      </c>
    </row>
    <row r="123" spans="1:4" ht="15.75" thickBot="1" x14ac:dyDescent="0.3">
      <c r="A123" s="10" t="s">
        <v>762</v>
      </c>
      <c r="B123" s="10">
        <v>5</v>
      </c>
      <c r="C123" s="10" t="s">
        <v>873</v>
      </c>
      <c r="D123" s="10">
        <v>887</v>
      </c>
    </row>
    <row r="124" spans="1:4" ht="15.75" thickBot="1" x14ac:dyDescent="0.3">
      <c r="A124" s="10" t="s">
        <v>762</v>
      </c>
      <c r="B124" s="10">
        <v>5</v>
      </c>
      <c r="C124" s="10" t="s">
        <v>874</v>
      </c>
      <c r="D124" s="10">
        <v>890</v>
      </c>
    </row>
    <row r="125" spans="1:4" ht="15.75" thickBot="1" x14ac:dyDescent="0.3">
      <c r="A125" s="10" t="s">
        <v>762</v>
      </c>
      <c r="B125" s="10">
        <v>5</v>
      </c>
      <c r="C125" s="10" t="s">
        <v>875</v>
      </c>
      <c r="D125" s="10">
        <v>893</v>
      </c>
    </row>
    <row r="126" spans="1:4" ht="15.75" thickBot="1" x14ac:dyDescent="0.3">
      <c r="A126" s="10" t="s">
        <v>762</v>
      </c>
      <c r="B126" s="10">
        <v>5</v>
      </c>
      <c r="C126" s="10" t="s">
        <v>876</v>
      </c>
      <c r="D126" s="10">
        <v>895</v>
      </c>
    </row>
    <row r="127" spans="1:4" ht="15.75" thickBot="1" x14ac:dyDescent="0.3">
      <c r="A127" s="10" t="s">
        <v>1760</v>
      </c>
      <c r="B127" s="10">
        <v>8</v>
      </c>
      <c r="C127" s="10" t="s">
        <v>1783</v>
      </c>
      <c r="D127" s="10">
        <v>1</v>
      </c>
    </row>
    <row r="128" spans="1:4" ht="15.75" thickBot="1" x14ac:dyDescent="0.3">
      <c r="A128" s="10" t="s">
        <v>1760</v>
      </c>
      <c r="B128" s="10">
        <v>8</v>
      </c>
      <c r="C128" s="10" t="s">
        <v>877</v>
      </c>
      <c r="D128" s="10">
        <v>78</v>
      </c>
    </row>
    <row r="129" spans="1:4" ht="15.75" thickBot="1" x14ac:dyDescent="0.3">
      <c r="A129" s="10" t="s">
        <v>1760</v>
      </c>
      <c r="B129" s="10">
        <v>8</v>
      </c>
      <c r="C129" s="10" t="s">
        <v>878</v>
      </c>
      <c r="D129" s="10">
        <v>137</v>
      </c>
    </row>
    <row r="130" spans="1:4" ht="15.75" thickBot="1" x14ac:dyDescent="0.3">
      <c r="A130" s="10" t="s">
        <v>1760</v>
      </c>
      <c r="B130" s="10">
        <v>8</v>
      </c>
      <c r="C130" s="10" t="s">
        <v>879</v>
      </c>
      <c r="D130" s="10">
        <v>141</v>
      </c>
    </row>
    <row r="131" spans="1:4" ht="15.75" thickBot="1" x14ac:dyDescent="0.3">
      <c r="A131" s="10" t="s">
        <v>1760</v>
      </c>
      <c r="B131" s="10">
        <v>8</v>
      </c>
      <c r="C131" s="10" t="s">
        <v>880</v>
      </c>
      <c r="D131" s="10">
        <v>296</v>
      </c>
    </row>
    <row r="132" spans="1:4" ht="15.75" thickBot="1" x14ac:dyDescent="0.3">
      <c r="A132" s="10" t="s">
        <v>1760</v>
      </c>
      <c r="B132" s="10">
        <v>8</v>
      </c>
      <c r="C132" s="10" t="s">
        <v>881</v>
      </c>
      <c r="D132" s="10">
        <v>372</v>
      </c>
    </row>
    <row r="133" spans="1:4" ht="15.75" thickBot="1" x14ac:dyDescent="0.3">
      <c r="A133" s="10" t="s">
        <v>1760</v>
      </c>
      <c r="B133" s="10">
        <v>8</v>
      </c>
      <c r="C133" s="10" t="s">
        <v>882</v>
      </c>
      <c r="D133" s="10">
        <v>421</v>
      </c>
    </row>
    <row r="134" spans="1:4" ht="15.75" thickBot="1" x14ac:dyDescent="0.3">
      <c r="A134" s="10" t="s">
        <v>1760</v>
      </c>
      <c r="B134" s="10">
        <v>8</v>
      </c>
      <c r="C134" s="10" t="s">
        <v>883</v>
      </c>
      <c r="D134" s="10">
        <v>433</v>
      </c>
    </row>
    <row r="135" spans="1:4" ht="15.75" thickBot="1" x14ac:dyDescent="0.3">
      <c r="A135" s="10" t="s">
        <v>1760</v>
      </c>
      <c r="B135" s="10">
        <v>8</v>
      </c>
      <c r="C135" s="10" t="s">
        <v>884</v>
      </c>
      <c r="D135" s="10">
        <v>436</v>
      </c>
    </row>
    <row r="136" spans="1:4" ht="15.75" thickBot="1" x14ac:dyDescent="0.3">
      <c r="A136" s="10" t="s">
        <v>1760</v>
      </c>
      <c r="B136" s="10">
        <v>8</v>
      </c>
      <c r="C136" s="10" t="s">
        <v>885</v>
      </c>
      <c r="D136" s="10">
        <v>520</v>
      </c>
    </row>
    <row r="137" spans="1:4" ht="15.75" thickBot="1" x14ac:dyDescent="0.3">
      <c r="A137" s="10" t="s">
        <v>1760</v>
      </c>
      <c r="B137" s="10">
        <v>8</v>
      </c>
      <c r="C137" s="10" t="s">
        <v>886</v>
      </c>
      <c r="D137" s="10">
        <v>549</v>
      </c>
    </row>
    <row r="138" spans="1:4" ht="15.75" thickBot="1" x14ac:dyDescent="0.3">
      <c r="A138" s="10" t="s">
        <v>1760</v>
      </c>
      <c r="B138" s="10">
        <v>8</v>
      </c>
      <c r="C138" s="10" t="s">
        <v>887</v>
      </c>
      <c r="D138" s="10">
        <v>558</v>
      </c>
    </row>
    <row r="139" spans="1:4" ht="15.75" thickBot="1" x14ac:dyDescent="0.3">
      <c r="A139" s="10" t="s">
        <v>1760</v>
      </c>
      <c r="B139" s="10">
        <v>8</v>
      </c>
      <c r="C139" s="10" t="s">
        <v>888</v>
      </c>
      <c r="D139" s="10">
        <v>560</v>
      </c>
    </row>
    <row r="140" spans="1:4" ht="15.75" thickBot="1" x14ac:dyDescent="0.3">
      <c r="A140" s="10" t="s">
        <v>1760</v>
      </c>
      <c r="B140" s="10">
        <v>8</v>
      </c>
      <c r="C140" s="10" t="s">
        <v>889</v>
      </c>
      <c r="D140" s="10">
        <v>573</v>
      </c>
    </row>
    <row r="141" spans="1:4" ht="15.75" thickBot="1" x14ac:dyDescent="0.3">
      <c r="A141" s="10" t="s">
        <v>1760</v>
      </c>
      <c r="B141" s="10">
        <v>8</v>
      </c>
      <c r="C141" s="10" t="s">
        <v>890</v>
      </c>
      <c r="D141" s="10">
        <v>606</v>
      </c>
    </row>
    <row r="142" spans="1:4" ht="15.75" thickBot="1" x14ac:dyDescent="0.3">
      <c r="A142" s="10" t="s">
        <v>1760</v>
      </c>
      <c r="B142" s="10">
        <v>8</v>
      </c>
      <c r="C142" s="10" t="s">
        <v>891</v>
      </c>
      <c r="D142" s="10">
        <v>634</v>
      </c>
    </row>
    <row r="143" spans="1:4" ht="15.75" thickBot="1" x14ac:dyDescent="0.3">
      <c r="A143" s="10" t="s">
        <v>1760</v>
      </c>
      <c r="B143" s="10">
        <v>8</v>
      </c>
      <c r="C143" s="10" t="s">
        <v>837</v>
      </c>
      <c r="D143" s="10">
        <v>638</v>
      </c>
    </row>
    <row r="144" spans="1:4" ht="15.75" thickBot="1" x14ac:dyDescent="0.3">
      <c r="A144" s="10" t="s">
        <v>1760</v>
      </c>
      <c r="B144" s="10">
        <v>8</v>
      </c>
      <c r="C144" s="10" t="s">
        <v>892</v>
      </c>
      <c r="D144" s="10">
        <v>675</v>
      </c>
    </row>
    <row r="145" spans="1:4" ht="15.75" thickBot="1" x14ac:dyDescent="0.3">
      <c r="A145" s="10" t="s">
        <v>1760</v>
      </c>
      <c r="B145" s="10">
        <v>8</v>
      </c>
      <c r="C145" s="10" t="s">
        <v>893</v>
      </c>
      <c r="D145" s="10">
        <v>685</v>
      </c>
    </row>
    <row r="146" spans="1:4" ht="15.75" thickBot="1" x14ac:dyDescent="0.3">
      <c r="A146" s="10" t="s">
        <v>1760</v>
      </c>
      <c r="B146" s="10">
        <v>8</v>
      </c>
      <c r="C146" s="10" t="s">
        <v>894</v>
      </c>
      <c r="D146" s="10">
        <v>758</v>
      </c>
    </row>
    <row r="147" spans="1:4" ht="15.75" thickBot="1" x14ac:dyDescent="0.3">
      <c r="A147" s="10" t="s">
        <v>1760</v>
      </c>
      <c r="B147" s="10">
        <v>8</v>
      </c>
      <c r="C147" s="10" t="s">
        <v>895</v>
      </c>
      <c r="D147" s="10">
        <v>770</v>
      </c>
    </row>
    <row r="148" spans="1:4" ht="15.75" thickBot="1" x14ac:dyDescent="0.3">
      <c r="A148" s="10" t="s">
        <v>1760</v>
      </c>
      <c r="B148" s="10">
        <v>8</v>
      </c>
      <c r="C148" s="10" t="s">
        <v>896</v>
      </c>
      <c r="D148" s="10">
        <v>832</v>
      </c>
    </row>
    <row r="149" spans="1:4" ht="15.75" thickBot="1" x14ac:dyDescent="0.3">
      <c r="A149" s="10" t="s">
        <v>1760</v>
      </c>
      <c r="B149" s="10">
        <v>8</v>
      </c>
      <c r="C149" s="10" t="s">
        <v>897</v>
      </c>
      <c r="D149" s="10">
        <v>849</v>
      </c>
    </row>
    <row r="150" spans="1:4" ht="15.75" thickBot="1" x14ac:dyDescent="0.3">
      <c r="A150" s="10" t="s">
        <v>773</v>
      </c>
      <c r="B150" s="10">
        <v>13</v>
      </c>
      <c r="C150" s="10" t="s">
        <v>1784</v>
      </c>
      <c r="D150" s="10">
        <v>1</v>
      </c>
    </row>
    <row r="151" spans="1:4" ht="15.75" thickBot="1" x14ac:dyDescent="0.3">
      <c r="A151" s="10" t="s">
        <v>773</v>
      </c>
      <c r="B151" s="10">
        <v>13</v>
      </c>
      <c r="C151" s="10" t="s">
        <v>898</v>
      </c>
      <c r="D151" s="10">
        <v>6</v>
      </c>
    </row>
    <row r="152" spans="1:4" ht="15.75" thickBot="1" x14ac:dyDescent="0.3">
      <c r="A152" s="10" t="s">
        <v>773</v>
      </c>
      <c r="B152" s="10">
        <v>13</v>
      </c>
      <c r="C152" s="10" t="s">
        <v>899</v>
      </c>
      <c r="D152" s="10">
        <v>30</v>
      </c>
    </row>
    <row r="153" spans="1:4" ht="15.75" thickBot="1" x14ac:dyDescent="0.3">
      <c r="A153" s="10" t="s">
        <v>773</v>
      </c>
      <c r="B153" s="10">
        <v>13</v>
      </c>
      <c r="C153" s="10" t="s">
        <v>900</v>
      </c>
      <c r="D153" s="10">
        <v>42</v>
      </c>
    </row>
    <row r="154" spans="1:4" ht="15.75" thickBot="1" x14ac:dyDescent="0.3">
      <c r="A154" s="10" t="s">
        <v>773</v>
      </c>
      <c r="B154" s="10">
        <v>13</v>
      </c>
      <c r="C154" s="10" t="s">
        <v>901</v>
      </c>
      <c r="D154" s="10">
        <v>52</v>
      </c>
    </row>
    <row r="155" spans="1:4" ht="15.75" thickBot="1" x14ac:dyDescent="0.3">
      <c r="A155" s="10" t="s">
        <v>773</v>
      </c>
      <c r="B155" s="10">
        <v>13</v>
      </c>
      <c r="C155" s="10" t="s">
        <v>902</v>
      </c>
      <c r="D155" s="10">
        <v>62</v>
      </c>
    </row>
    <row r="156" spans="1:4" ht="15.75" thickBot="1" x14ac:dyDescent="0.3">
      <c r="A156" s="10" t="s">
        <v>773</v>
      </c>
      <c r="B156" s="10">
        <v>13</v>
      </c>
      <c r="C156" s="10" t="s">
        <v>903</v>
      </c>
      <c r="D156" s="10">
        <v>74</v>
      </c>
    </row>
    <row r="157" spans="1:4" ht="15.75" thickBot="1" x14ac:dyDescent="0.3">
      <c r="A157" s="10" t="s">
        <v>773</v>
      </c>
      <c r="B157" s="10">
        <v>13</v>
      </c>
      <c r="C157" s="10" t="s">
        <v>904</v>
      </c>
      <c r="D157" s="10">
        <v>140</v>
      </c>
    </row>
    <row r="158" spans="1:4" ht="15.75" thickBot="1" x14ac:dyDescent="0.3">
      <c r="A158" s="10" t="s">
        <v>773</v>
      </c>
      <c r="B158" s="10">
        <v>13</v>
      </c>
      <c r="C158" s="10" t="s">
        <v>905</v>
      </c>
      <c r="D158" s="10">
        <v>160</v>
      </c>
    </row>
    <row r="159" spans="1:4" ht="15.75" thickBot="1" x14ac:dyDescent="0.3">
      <c r="A159" s="10" t="s">
        <v>773</v>
      </c>
      <c r="B159" s="10">
        <v>13</v>
      </c>
      <c r="C159" s="10" t="s">
        <v>906</v>
      </c>
      <c r="D159" s="10">
        <v>188</v>
      </c>
    </row>
    <row r="160" spans="1:4" ht="15.75" thickBot="1" x14ac:dyDescent="0.3">
      <c r="A160" s="10" t="s">
        <v>773</v>
      </c>
      <c r="B160" s="10">
        <v>13</v>
      </c>
      <c r="C160" s="10" t="s">
        <v>907</v>
      </c>
      <c r="D160" s="10">
        <v>212</v>
      </c>
    </row>
    <row r="161" spans="1:4" ht="15.75" thickBot="1" x14ac:dyDescent="0.3">
      <c r="A161" s="10" t="s">
        <v>773</v>
      </c>
      <c r="B161" s="10">
        <v>13</v>
      </c>
      <c r="C161" s="10" t="s">
        <v>908</v>
      </c>
      <c r="D161" s="10">
        <v>222</v>
      </c>
    </row>
    <row r="162" spans="1:4" ht="15.75" thickBot="1" x14ac:dyDescent="0.3">
      <c r="A162" s="10" t="s">
        <v>773</v>
      </c>
      <c r="B162" s="10">
        <v>13</v>
      </c>
      <c r="C162" s="10" t="s">
        <v>909</v>
      </c>
      <c r="D162" s="10">
        <v>244</v>
      </c>
    </row>
    <row r="163" spans="1:4" ht="15.75" thickBot="1" x14ac:dyDescent="0.3">
      <c r="A163" s="10" t="s">
        <v>773</v>
      </c>
      <c r="B163" s="10">
        <v>13</v>
      </c>
      <c r="C163" s="10" t="s">
        <v>910</v>
      </c>
      <c r="D163" s="10">
        <v>248</v>
      </c>
    </row>
    <row r="164" spans="1:4" ht="15.75" thickBot="1" x14ac:dyDescent="0.3">
      <c r="A164" s="10" t="s">
        <v>773</v>
      </c>
      <c r="B164" s="10">
        <v>13</v>
      </c>
      <c r="C164" s="10" t="s">
        <v>911</v>
      </c>
      <c r="D164" s="10">
        <v>268</v>
      </c>
    </row>
    <row r="165" spans="1:4" ht="15.75" thickBot="1" x14ac:dyDescent="0.3">
      <c r="A165" s="10" t="s">
        <v>773</v>
      </c>
      <c r="B165" s="10">
        <v>13</v>
      </c>
      <c r="C165" s="10" t="s">
        <v>912</v>
      </c>
      <c r="D165" s="10">
        <v>300</v>
      </c>
    </row>
    <row r="166" spans="1:4" ht="15.75" thickBot="1" x14ac:dyDescent="0.3">
      <c r="A166" s="10" t="s">
        <v>773</v>
      </c>
      <c r="B166" s="10">
        <v>13</v>
      </c>
      <c r="C166" s="10" t="s">
        <v>913</v>
      </c>
      <c r="D166" s="10">
        <v>430</v>
      </c>
    </row>
    <row r="167" spans="1:4" ht="15.75" thickBot="1" x14ac:dyDescent="0.3">
      <c r="A167" s="10" t="s">
        <v>773</v>
      </c>
      <c r="B167" s="10">
        <v>13</v>
      </c>
      <c r="C167" s="10" t="s">
        <v>914</v>
      </c>
      <c r="D167" s="10">
        <v>433</v>
      </c>
    </row>
    <row r="168" spans="1:4" ht="15.75" thickBot="1" x14ac:dyDescent="0.3">
      <c r="A168" s="10" t="s">
        <v>773</v>
      </c>
      <c r="B168" s="10">
        <v>13</v>
      </c>
      <c r="C168" s="10" t="s">
        <v>915</v>
      </c>
      <c r="D168" s="10">
        <v>440</v>
      </c>
    </row>
    <row r="169" spans="1:4" ht="15.75" thickBot="1" x14ac:dyDescent="0.3">
      <c r="A169" s="10" t="s">
        <v>773</v>
      </c>
      <c r="B169" s="10">
        <v>13</v>
      </c>
      <c r="C169" s="10" t="s">
        <v>916</v>
      </c>
      <c r="D169" s="10">
        <v>442</v>
      </c>
    </row>
    <row r="170" spans="1:4" ht="15.75" thickBot="1" x14ac:dyDescent="0.3">
      <c r="A170" s="10" t="s">
        <v>773</v>
      </c>
      <c r="B170" s="10">
        <v>13</v>
      </c>
      <c r="C170" s="10" t="s">
        <v>917</v>
      </c>
      <c r="D170" s="10">
        <v>458</v>
      </c>
    </row>
    <row r="171" spans="1:4" ht="15.75" thickBot="1" x14ac:dyDescent="0.3">
      <c r="A171" s="10" t="s">
        <v>773</v>
      </c>
      <c r="B171" s="10">
        <v>13</v>
      </c>
      <c r="C171" s="10" t="s">
        <v>918</v>
      </c>
      <c r="D171" s="10">
        <v>468</v>
      </c>
    </row>
    <row r="172" spans="1:4" ht="15.75" thickBot="1" x14ac:dyDescent="0.3">
      <c r="A172" s="10" t="s">
        <v>773</v>
      </c>
      <c r="B172" s="10">
        <v>13</v>
      </c>
      <c r="C172" s="10" t="s">
        <v>919</v>
      </c>
      <c r="D172" s="10">
        <v>473</v>
      </c>
    </row>
    <row r="173" spans="1:4" ht="15.75" thickBot="1" x14ac:dyDescent="0.3">
      <c r="A173" s="10" t="s">
        <v>773</v>
      </c>
      <c r="B173" s="10">
        <v>13</v>
      </c>
      <c r="C173" s="10" t="s">
        <v>920</v>
      </c>
      <c r="D173" s="10">
        <v>549</v>
      </c>
    </row>
    <row r="174" spans="1:4" ht="15.75" thickBot="1" x14ac:dyDescent="0.3">
      <c r="A174" s="10" t="s">
        <v>773</v>
      </c>
      <c r="B174" s="10">
        <v>13</v>
      </c>
      <c r="C174" s="10" t="s">
        <v>921</v>
      </c>
      <c r="D174" s="10">
        <v>580</v>
      </c>
    </row>
    <row r="175" spans="1:4" ht="15.75" thickBot="1" x14ac:dyDescent="0.3">
      <c r="A175" s="10" t="s">
        <v>773</v>
      </c>
      <c r="B175" s="10">
        <v>13</v>
      </c>
      <c r="C175" s="10" t="s">
        <v>922</v>
      </c>
      <c r="D175" s="10">
        <v>600</v>
      </c>
    </row>
    <row r="176" spans="1:4" ht="15.75" thickBot="1" x14ac:dyDescent="0.3">
      <c r="A176" s="10" t="s">
        <v>773</v>
      </c>
      <c r="B176" s="10">
        <v>13</v>
      </c>
      <c r="C176" s="10" t="s">
        <v>923</v>
      </c>
      <c r="D176" s="10">
        <v>620</v>
      </c>
    </row>
    <row r="177" spans="1:4" ht="15.75" thickBot="1" x14ac:dyDescent="0.3">
      <c r="A177" s="10" t="s">
        <v>773</v>
      </c>
      <c r="B177" s="10">
        <v>13</v>
      </c>
      <c r="C177" s="10" t="s">
        <v>924</v>
      </c>
      <c r="D177" s="10">
        <v>647</v>
      </c>
    </row>
    <row r="178" spans="1:4" ht="15.75" thickBot="1" x14ac:dyDescent="0.3">
      <c r="A178" s="10" t="s">
        <v>773</v>
      </c>
      <c r="B178" s="10">
        <v>13</v>
      </c>
      <c r="C178" s="10" t="s">
        <v>925</v>
      </c>
      <c r="D178" s="10">
        <v>650</v>
      </c>
    </row>
    <row r="179" spans="1:4" ht="15.75" thickBot="1" x14ac:dyDescent="0.3">
      <c r="A179" s="10" t="s">
        <v>773</v>
      </c>
      <c r="B179" s="10">
        <v>13</v>
      </c>
      <c r="C179" s="10" t="s">
        <v>926</v>
      </c>
      <c r="D179" s="10">
        <v>654</v>
      </c>
    </row>
    <row r="180" spans="1:4" ht="15.75" thickBot="1" x14ac:dyDescent="0.3">
      <c r="A180" s="10" t="s">
        <v>773</v>
      </c>
      <c r="B180" s="10">
        <v>13</v>
      </c>
      <c r="C180" s="10" t="s">
        <v>927</v>
      </c>
      <c r="D180" s="10">
        <v>655</v>
      </c>
    </row>
    <row r="181" spans="1:4" ht="15.75" thickBot="1" x14ac:dyDescent="0.3">
      <c r="A181" s="10" t="s">
        <v>773</v>
      </c>
      <c r="B181" s="10">
        <v>13</v>
      </c>
      <c r="C181" s="10" t="s">
        <v>928</v>
      </c>
      <c r="D181" s="10">
        <v>657</v>
      </c>
    </row>
    <row r="182" spans="1:4" ht="15.75" thickBot="1" x14ac:dyDescent="0.3">
      <c r="A182" s="10" t="s">
        <v>773</v>
      </c>
      <c r="B182" s="10">
        <v>13</v>
      </c>
      <c r="C182" s="10" t="s">
        <v>929</v>
      </c>
      <c r="D182" s="10">
        <v>667</v>
      </c>
    </row>
    <row r="183" spans="1:4" ht="15.75" thickBot="1" x14ac:dyDescent="0.3">
      <c r="A183" s="10" t="s">
        <v>773</v>
      </c>
      <c r="B183" s="10">
        <v>13</v>
      </c>
      <c r="C183" s="10" t="s">
        <v>930</v>
      </c>
      <c r="D183" s="10">
        <v>670</v>
      </c>
    </row>
    <row r="184" spans="1:4" ht="15.75" thickBot="1" x14ac:dyDescent="0.3">
      <c r="A184" s="10" t="s">
        <v>773</v>
      </c>
      <c r="B184" s="10">
        <v>13</v>
      </c>
      <c r="C184" s="10" t="s">
        <v>931</v>
      </c>
      <c r="D184" s="10">
        <v>673</v>
      </c>
    </row>
    <row r="185" spans="1:4" ht="15.75" thickBot="1" x14ac:dyDescent="0.3">
      <c r="A185" s="10" t="s">
        <v>773</v>
      </c>
      <c r="B185" s="10">
        <v>13</v>
      </c>
      <c r="C185" s="10" t="s">
        <v>932</v>
      </c>
      <c r="D185" s="10">
        <v>683</v>
      </c>
    </row>
    <row r="186" spans="1:4" ht="15.75" thickBot="1" x14ac:dyDescent="0.3">
      <c r="A186" s="10" t="s">
        <v>773</v>
      </c>
      <c r="B186" s="10">
        <v>13</v>
      </c>
      <c r="C186" s="10" t="s">
        <v>933</v>
      </c>
      <c r="D186" s="10">
        <v>688</v>
      </c>
    </row>
    <row r="187" spans="1:4" ht="15.75" thickBot="1" x14ac:dyDescent="0.3">
      <c r="A187" s="10" t="s">
        <v>773</v>
      </c>
      <c r="B187" s="10">
        <v>13</v>
      </c>
      <c r="C187" s="10" t="s">
        <v>934</v>
      </c>
      <c r="D187" s="10">
        <v>744</v>
      </c>
    </row>
    <row r="188" spans="1:4" ht="15.75" thickBot="1" x14ac:dyDescent="0.3">
      <c r="A188" s="10" t="s">
        <v>773</v>
      </c>
      <c r="B188" s="10">
        <v>13</v>
      </c>
      <c r="C188" s="10" t="s">
        <v>935</v>
      </c>
      <c r="D188" s="10">
        <v>760</v>
      </c>
    </row>
    <row r="189" spans="1:4" ht="15.75" thickBot="1" x14ac:dyDescent="0.3">
      <c r="A189" s="10" t="s">
        <v>773</v>
      </c>
      <c r="B189" s="10">
        <v>13</v>
      </c>
      <c r="C189" s="10" t="s">
        <v>936</v>
      </c>
      <c r="D189" s="10">
        <v>780</v>
      </c>
    </row>
    <row r="190" spans="1:4" ht="15.75" thickBot="1" x14ac:dyDescent="0.3">
      <c r="A190" s="10" t="s">
        <v>773</v>
      </c>
      <c r="B190" s="10">
        <v>13</v>
      </c>
      <c r="C190" s="10" t="s">
        <v>937</v>
      </c>
      <c r="D190" s="10">
        <v>810</v>
      </c>
    </row>
    <row r="191" spans="1:4" ht="15.75" thickBot="1" x14ac:dyDescent="0.3">
      <c r="A191" s="10" t="s">
        <v>773</v>
      </c>
      <c r="B191" s="10">
        <v>13</v>
      </c>
      <c r="C191" s="10" t="s">
        <v>938</v>
      </c>
      <c r="D191" s="10">
        <v>836</v>
      </c>
    </row>
    <row r="192" spans="1:4" ht="15.75" thickBot="1" x14ac:dyDescent="0.3">
      <c r="A192" s="10" t="s">
        <v>773</v>
      </c>
      <c r="B192" s="10">
        <v>13</v>
      </c>
      <c r="C192" s="10" t="s">
        <v>939</v>
      </c>
      <c r="D192" s="10">
        <v>838</v>
      </c>
    </row>
    <row r="193" spans="1:4" ht="15.75" thickBot="1" x14ac:dyDescent="0.3">
      <c r="A193" s="10" t="s">
        <v>773</v>
      </c>
      <c r="B193" s="10">
        <v>13</v>
      </c>
      <c r="C193" s="10" t="s">
        <v>940</v>
      </c>
      <c r="D193" s="10">
        <v>873</v>
      </c>
    </row>
    <row r="194" spans="1:4" ht="15.75" thickBot="1" x14ac:dyDescent="0.3">
      <c r="A194" s="10" t="s">
        <v>773</v>
      </c>
      <c r="B194" s="10">
        <v>13</v>
      </c>
      <c r="C194" s="10" t="s">
        <v>941</v>
      </c>
      <c r="D194" s="10">
        <v>894</v>
      </c>
    </row>
    <row r="195" spans="1:4" ht="15.75" thickBot="1" x14ac:dyDescent="0.3">
      <c r="A195" s="10" t="s">
        <v>950</v>
      </c>
      <c r="B195" s="10">
        <v>15</v>
      </c>
      <c r="C195" s="10" t="s">
        <v>942</v>
      </c>
      <c r="D195" s="10">
        <v>1</v>
      </c>
    </row>
    <row r="196" spans="1:4" ht="15.75" thickBot="1" x14ac:dyDescent="0.3">
      <c r="A196" s="10" t="s">
        <v>950</v>
      </c>
      <c r="B196" s="10">
        <v>15</v>
      </c>
      <c r="C196" s="10" t="s">
        <v>943</v>
      </c>
      <c r="D196" s="10">
        <v>22</v>
      </c>
    </row>
    <row r="197" spans="1:4" ht="15.75" thickBot="1" x14ac:dyDescent="0.3">
      <c r="A197" s="10" t="s">
        <v>950</v>
      </c>
      <c r="B197" s="10">
        <v>15</v>
      </c>
      <c r="C197" s="10" t="s">
        <v>944</v>
      </c>
      <c r="D197" s="10">
        <v>47</v>
      </c>
    </row>
    <row r="198" spans="1:4" ht="15.75" thickBot="1" x14ac:dyDescent="0.3">
      <c r="A198" s="10" t="s">
        <v>950</v>
      </c>
      <c r="B198" s="10">
        <v>15</v>
      </c>
      <c r="C198" s="10" t="s">
        <v>945</v>
      </c>
      <c r="D198" s="10">
        <v>51</v>
      </c>
    </row>
    <row r="199" spans="1:4" ht="15.75" thickBot="1" x14ac:dyDescent="0.3">
      <c r="A199" s="10" t="s">
        <v>950</v>
      </c>
      <c r="B199" s="10">
        <v>15</v>
      </c>
      <c r="C199" s="10" t="s">
        <v>946</v>
      </c>
      <c r="D199" s="10">
        <v>87</v>
      </c>
    </row>
    <row r="200" spans="1:4" ht="15.75" thickBot="1" x14ac:dyDescent="0.3">
      <c r="A200" s="10" t="s">
        <v>950</v>
      </c>
      <c r="B200" s="10">
        <v>15</v>
      </c>
      <c r="C200" s="10" t="s">
        <v>947</v>
      </c>
      <c r="D200" s="10">
        <v>90</v>
      </c>
    </row>
    <row r="201" spans="1:4" ht="15.75" thickBot="1" x14ac:dyDescent="0.3">
      <c r="A201" s="10" t="s">
        <v>950</v>
      </c>
      <c r="B201" s="10">
        <v>15</v>
      </c>
      <c r="C201" s="10" t="s">
        <v>948</v>
      </c>
      <c r="D201" s="10">
        <v>92</v>
      </c>
    </row>
    <row r="202" spans="1:4" ht="15.75" thickBot="1" x14ac:dyDescent="0.3">
      <c r="A202" s="10" t="s">
        <v>950</v>
      </c>
      <c r="B202" s="10">
        <v>15</v>
      </c>
      <c r="C202" s="10" t="s">
        <v>949</v>
      </c>
      <c r="D202" s="10">
        <v>97</v>
      </c>
    </row>
    <row r="203" spans="1:4" ht="15.75" thickBot="1" x14ac:dyDescent="0.3">
      <c r="A203" s="10" t="s">
        <v>950</v>
      </c>
      <c r="B203" s="10">
        <v>15</v>
      </c>
      <c r="C203" s="10" t="s">
        <v>950</v>
      </c>
      <c r="D203" s="10">
        <v>104</v>
      </c>
    </row>
    <row r="204" spans="1:4" ht="15.75" thickBot="1" x14ac:dyDescent="0.3">
      <c r="A204" s="10" t="s">
        <v>950</v>
      </c>
      <c r="B204" s="10">
        <v>15</v>
      </c>
      <c r="C204" s="10" t="s">
        <v>774</v>
      </c>
      <c r="D204" s="10">
        <v>106</v>
      </c>
    </row>
    <row r="205" spans="1:4" ht="15.75" thickBot="1" x14ac:dyDescent="0.3">
      <c r="A205" s="10" t="s">
        <v>950</v>
      </c>
      <c r="B205" s="10">
        <v>15</v>
      </c>
      <c r="C205" s="10" t="s">
        <v>951</v>
      </c>
      <c r="D205" s="10">
        <v>109</v>
      </c>
    </row>
    <row r="206" spans="1:4" ht="15.75" thickBot="1" x14ac:dyDescent="0.3">
      <c r="A206" s="10" t="s">
        <v>950</v>
      </c>
      <c r="B206" s="10">
        <v>15</v>
      </c>
      <c r="C206" s="10" t="s">
        <v>952</v>
      </c>
      <c r="D206" s="10">
        <v>114</v>
      </c>
    </row>
    <row r="207" spans="1:4" ht="15.75" thickBot="1" x14ac:dyDescent="0.3">
      <c r="A207" s="10" t="s">
        <v>950</v>
      </c>
      <c r="B207" s="10">
        <v>15</v>
      </c>
      <c r="C207" s="10" t="s">
        <v>778</v>
      </c>
      <c r="D207" s="10">
        <v>131</v>
      </c>
    </row>
    <row r="208" spans="1:4" ht="15.75" thickBot="1" x14ac:dyDescent="0.3">
      <c r="A208" s="10" t="s">
        <v>950</v>
      </c>
      <c r="B208" s="10">
        <v>15</v>
      </c>
      <c r="C208" s="10" t="s">
        <v>953</v>
      </c>
      <c r="D208" s="10">
        <v>135</v>
      </c>
    </row>
    <row r="209" spans="1:4" ht="15.75" thickBot="1" x14ac:dyDescent="0.3">
      <c r="A209" s="10" t="s">
        <v>950</v>
      </c>
      <c r="B209" s="10">
        <v>15</v>
      </c>
      <c r="C209" s="10" t="s">
        <v>954</v>
      </c>
      <c r="D209" s="10">
        <v>162</v>
      </c>
    </row>
    <row r="210" spans="1:4" ht="15.75" thickBot="1" x14ac:dyDescent="0.3">
      <c r="A210" s="10" t="s">
        <v>950</v>
      </c>
      <c r="B210" s="10">
        <v>15</v>
      </c>
      <c r="C210" s="10" t="s">
        <v>955</v>
      </c>
      <c r="D210" s="10">
        <v>172</v>
      </c>
    </row>
    <row r="211" spans="1:4" ht="15.75" thickBot="1" x14ac:dyDescent="0.3">
      <c r="A211" s="10" t="s">
        <v>950</v>
      </c>
      <c r="B211" s="10">
        <v>15</v>
      </c>
      <c r="C211" s="10" t="s">
        <v>956</v>
      </c>
      <c r="D211" s="10">
        <v>176</v>
      </c>
    </row>
    <row r="212" spans="1:4" ht="15.75" thickBot="1" x14ac:dyDescent="0.3">
      <c r="A212" s="10" t="s">
        <v>950</v>
      </c>
      <c r="B212" s="10">
        <v>15</v>
      </c>
      <c r="C212" s="10" t="s">
        <v>957</v>
      </c>
      <c r="D212" s="10">
        <v>180</v>
      </c>
    </row>
    <row r="213" spans="1:4" ht="15.75" thickBot="1" x14ac:dyDescent="0.3">
      <c r="A213" s="10" t="s">
        <v>950</v>
      </c>
      <c r="B213" s="10">
        <v>15</v>
      </c>
      <c r="C213" s="10" t="s">
        <v>958</v>
      </c>
      <c r="D213" s="10">
        <v>183</v>
      </c>
    </row>
    <row r="214" spans="1:4" ht="15.75" thickBot="1" x14ac:dyDescent="0.3">
      <c r="A214" s="10" t="s">
        <v>950</v>
      </c>
      <c r="B214" s="10">
        <v>15</v>
      </c>
      <c r="C214" s="10" t="s">
        <v>959</v>
      </c>
      <c r="D214" s="10">
        <v>185</v>
      </c>
    </row>
    <row r="215" spans="1:4" ht="15.75" thickBot="1" x14ac:dyDescent="0.3">
      <c r="A215" s="10" t="s">
        <v>950</v>
      </c>
      <c r="B215" s="10">
        <v>15</v>
      </c>
      <c r="C215" s="10" t="s">
        <v>960</v>
      </c>
      <c r="D215" s="10">
        <v>187</v>
      </c>
    </row>
    <row r="216" spans="1:4" ht="15.75" thickBot="1" x14ac:dyDescent="0.3">
      <c r="A216" s="10" t="s">
        <v>950</v>
      </c>
      <c r="B216" s="10">
        <v>15</v>
      </c>
      <c r="C216" s="10" t="s">
        <v>961</v>
      </c>
      <c r="D216" s="10">
        <v>189</v>
      </c>
    </row>
    <row r="217" spans="1:4" ht="15.75" thickBot="1" x14ac:dyDescent="0.3">
      <c r="A217" s="10" t="s">
        <v>950</v>
      </c>
      <c r="B217" s="10">
        <v>15</v>
      </c>
      <c r="C217" s="10" t="s">
        <v>962</v>
      </c>
      <c r="D217" s="10">
        <v>204</v>
      </c>
    </row>
    <row r="218" spans="1:4" ht="15.75" thickBot="1" x14ac:dyDescent="0.3">
      <c r="A218" s="10" t="s">
        <v>950</v>
      </c>
      <c r="B218" s="10">
        <v>15</v>
      </c>
      <c r="C218" s="10" t="s">
        <v>963</v>
      </c>
      <c r="D218" s="10">
        <v>212</v>
      </c>
    </row>
    <row r="219" spans="1:4" ht="15.75" thickBot="1" x14ac:dyDescent="0.3">
      <c r="A219" s="10" t="s">
        <v>950</v>
      </c>
      <c r="B219" s="10">
        <v>15</v>
      </c>
      <c r="C219" s="10" t="s">
        <v>964</v>
      </c>
      <c r="D219" s="10">
        <v>215</v>
      </c>
    </row>
    <row r="220" spans="1:4" ht="15.75" thickBot="1" x14ac:dyDescent="0.3">
      <c r="A220" s="10" t="s">
        <v>950</v>
      </c>
      <c r="B220" s="10">
        <v>15</v>
      </c>
      <c r="C220" s="10" t="s">
        <v>965</v>
      </c>
      <c r="D220" s="10">
        <v>218</v>
      </c>
    </row>
    <row r="221" spans="1:4" ht="15.75" thickBot="1" x14ac:dyDescent="0.3">
      <c r="A221" s="10" t="s">
        <v>950</v>
      </c>
      <c r="B221" s="10">
        <v>15</v>
      </c>
      <c r="C221" s="10" t="s">
        <v>966</v>
      </c>
      <c r="D221" s="10">
        <v>223</v>
      </c>
    </row>
    <row r="222" spans="1:4" ht="15.75" thickBot="1" x14ac:dyDescent="0.3">
      <c r="A222" s="10" t="s">
        <v>950</v>
      </c>
      <c r="B222" s="10">
        <v>15</v>
      </c>
      <c r="C222" s="10" t="s">
        <v>967</v>
      </c>
      <c r="D222" s="10">
        <v>224</v>
      </c>
    </row>
    <row r="223" spans="1:4" ht="15.75" thickBot="1" x14ac:dyDescent="0.3">
      <c r="A223" s="10" t="s">
        <v>950</v>
      </c>
      <c r="B223" s="10">
        <v>15</v>
      </c>
      <c r="C223" s="10" t="s">
        <v>968</v>
      </c>
      <c r="D223" s="10">
        <v>226</v>
      </c>
    </row>
    <row r="224" spans="1:4" ht="15.75" thickBot="1" x14ac:dyDescent="0.3">
      <c r="A224" s="10" t="s">
        <v>950</v>
      </c>
      <c r="B224" s="10">
        <v>15</v>
      </c>
      <c r="C224" s="10" t="s">
        <v>969</v>
      </c>
      <c r="D224" s="10">
        <v>232</v>
      </c>
    </row>
    <row r="225" spans="1:4" ht="15.75" thickBot="1" x14ac:dyDescent="0.3">
      <c r="A225" s="10" t="s">
        <v>950</v>
      </c>
      <c r="B225" s="10">
        <v>15</v>
      </c>
      <c r="C225" s="10" t="s">
        <v>970</v>
      </c>
      <c r="D225" s="10">
        <v>236</v>
      </c>
    </row>
    <row r="226" spans="1:4" ht="15.75" thickBot="1" x14ac:dyDescent="0.3">
      <c r="A226" s="10" t="s">
        <v>950</v>
      </c>
      <c r="B226" s="10">
        <v>15</v>
      </c>
      <c r="C226" s="10" t="s">
        <v>971</v>
      </c>
      <c r="D226" s="10">
        <v>238</v>
      </c>
    </row>
    <row r="227" spans="1:4" ht="15.75" thickBot="1" x14ac:dyDescent="0.3">
      <c r="A227" s="10" t="s">
        <v>950</v>
      </c>
      <c r="B227" s="10">
        <v>15</v>
      </c>
      <c r="C227" s="10" t="s">
        <v>972</v>
      </c>
      <c r="D227" s="10">
        <v>244</v>
      </c>
    </row>
    <row r="228" spans="1:4" ht="15.75" thickBot="1" x14ac:dyDescent="0.3">
      <c r="A228" s="10" t="s">
        <v>950</v>
      </c>
      <c r="B228" s="10">
        <v>15</v>
      </c>
      <c r="C228" s="10" t="s">
        <v>973</v>
      </c>
      <c r="D228" s="10">
        <v>248</v>
      </c>
    </row>
    <row r="229" spans="1:4" ht="15.75" thickBot="1" x14ac:dyDescent="0.3">
      <c r="A229" s="10" t="s">
        <v>950</v>
      </c>
      <c r="B229" s="10">
        <v>15</v>
      </c>
      <c r="C229" s="10" t="s">
        <v>974</v>
      </c>
      <c r="D229" s="10">
        <v>272</v>
      </c>
    </row>
    <row r="230" spans="1:4" ht="15.75" thickBot="1" x14ac:dyDescent="0.3">
      <c r="A230" s="10" t="s">
        <v>950</v>
      </c>
      <c r="B230" s="10">
        <v>15</v>
      </c>
      <c r="C230" s="10" t="s">
        <v>975</v>
      </c>
      <c r="D230" s="10">
        <v>276</v>
      </c>
    </row>
    <row r="231" spans="1:4" ht="15.75" thickBot="1" x14ac:dyDescent="0.3">
      <c r="A231" s="10" t="s">
        <v>950</v>
      </c>
      <c r="B231" s="10">
        <v>15</v>
      </c>
      <c r="C231" s="10" t="s">
        <v>976</v>
      </c>
      <c r="D231" s="10">
        <v>293</v>
      </c>
    </row>
    <row r="232" spans="1:4" ht="15.75" thickBot="1" x14ac:dyDescent="0.3">
      <c r="A232" s="10" t="s">
        <v>950</v>
      </c>
      <c r="B232" s="10">
        <v>15</v>
      </c>
      <c r="C232" s="10" t="s">
        <v>977</v>
      </c>
      <c r="D232" s="10">
        <v>296</v>
      </c>
    </row>
    <row r="233" spans="1:4" ht="15.75" thickBot="1" x14ac:dyDescent="0.3">
      <c r="A233" s="10" t="s">
        <v>950</v>
      </c>
      <c r="B233" s="10">
        <v>15</v>
      </c>
      <c r="C233" s="10" t="s">
        <v>978</v>
      </c>
      <c r="D233" s="10">
        <v>299</v>
      </c>
    </row>
    <row r="234" spans="1:4" ht="15.75" thickBot="1" x14ac:dyDescent="0.3">
      <c r="A234" s="10" t="s">
        <v>950</v>
      </c>
      <c r="B234" s="10">
        <v>15</v>
      </c>
      <c r="C234" s="10" t="s">
        <v>979</v>
      </c>
      <c r="D234" s="10">
        <v>317</v>
      </c>
    </row>
    <row r="235" spans="1:4" ht="15.75" thickBot="1" x14ac:dyDescent="0.3">
      <c r="A235" s="10" t="s">
        <v>950</v>
      </c>
      <c r="B235" s="10">
        <v>15</v>
      </c>
      <c r="C235" s="10" t="s">
        <v>980</v>
      </c>
      <c r="D235" s="10">
        <v>322</v>
      </c>
    </row>
    <row r="236" spans="1:4" ht="15.75" thickBot="1" x14ac:dyDescent="0.3">
      <c r="A236" s="10" t="s">
        <v>950</v>
      </c>
      <c r="B236" s="10">
        <v>15</v>
      </c>
      <c r="C236" s="10" t="s">
        <v>981</v>
      </c>
      <c r="D236" s="10">
        <v>325</v>
      </c>
    </row>
    <row r="237" spans="1:4" ht="15.75" thickBot="1" x14ac:dyDescent="0.3">
      <c r="A237" s="10" t="s">
        <v>950</v>
      </c>
      <c r="B237" s="10">
        <v>15</v>
      </c>
      <c r="C237" s="10" t="s">
        <v>982</v>
      </c>
      <c r="D237" s="10">
        <v>332</v>
      </c>
    </row>
    <row r="238" spans="1:4" ht="15.75" thickBot="1" x14ac:dyDescent="0.3">
      <c r="A238" s="10" t="s">
        <v>950</v>
      </c>
      <c r="B238" s="10">
        <v>15</v>
      </c>
      <c r="C238" s="10" t="s">
        <v>983</v>
      </c>
      <c r="D238" s="10">
        <v>362</v>
      </c>
    </row>
    <row r="239" spans="1:4" ht="15.75" thickBot="1" x14ac:dyDescent="0.3">
      <c r="A239" s="10" t="s">
        <v>950</v>
      </c>
      <c r="B239" s="10">
        <v>15</v>
      </c>
      <c r="C239" s="10" t="s">
        <v>984</v>
      </c>
      <c r="D239" s="10">
        <v>367</v>
      </c>
    </row>
    <row r="240" spans="1:4" ht="15.75" thickBot="1" x14ac:dyDescent="0.3">
      <c r="A240" s="10" t="s">
        <v>950</v>
      </c>
      <c r="B240" s="10">
        <v>15</v>
      </c>
      <c r="C240" s="10" t="s">
        <v>813</v>
      </c>
      <c r="D240" s="10">
        <v>368</v>
      </c>
    </row>
    <row r="241" spans="1:4" ht="15.75" thickBot="1" x14ac:dyDescent="0.3">
      <c r="A241" s="10" t="s">
        <v>950</v>
      </c>
      <c r="B241" s="10">
        <v>15</v>
      </c>
      <c r="C241" s="10" t="s">
        <v>985</v>
      </c>
      <c r="D241" s="10">
        <v>377</v>
      </c>
    </row>
    <row r="242" spans="1:4" ht="15.75" thickBot="1" x14ac:dyDescent="0.3">
      <c r="A242" s="10" t="s">
        <v>950</v>
      </c>
      <c r="B242" s="10">
        <v>15</v>
      </c>
      <c r="C242" s="10" t="s">
        <v>986</v>
      </c>
      <c r="D242" s="10">
        <v>380</v>
      </c>
    </row>
    <row r="243" spans="1:4" ht="15.75" thickBot="1" x14ac:dyDescent="0.3">
      <c r="A243" s="10" t="s">
        <v>950</v>
      </c>
      <c r="B243" s="10">
        <v>15</v>
      </c>
      <c r="C243" s="10" t="s">
        <v>987</v>
      </c>
      <c r="D243" s="10">
        <v>401</v>
      </c>
    </row>
    <row r="244" spans="1:4" ht="15.75" thickBot="1" x14ac:dyDescent="0.3">
      <c r="A244" s="10" t="s">
        <v>950</v>
      </c>
      <c r="B244" s="10">
        <v>15</v>
      </c>
      <c r="C244" s="10" t="s">
        <v>988</v>
      </c>
      <c r="D244" s="10">
        <v>403</v>
      </c>
    </row>
    <row r="245" spans="1:4" ht="15.75" thickBot="1" x14ac:dyDescent="0.3">
      <c r="A245" s="10" t="s">
        <v>950</v>
      </c>
      <c r="B245" s="10">
        <v>15</v>
      </c>
      <c r="C245" s="10" t="s">
        <v>989</v>
      </c>
      <c r="D245" s="10">
        <v>407</v>
      </c>
    </row>
    <row r="246" spans="1:4" ht="15.75" thickBot="1" x14ac:dyDescent="0.3">
      <c r="A246" s="10" t="s">
        <v>950</v>
      </c>
      <c r="B246" s="10">
        <v>15</v>
      </c>
      <c r="C246" s="10" t="s">
        <v>990</v>
      </c>
      <c r="D246" s="10">
        <v>425</v>
      </c>
    </row>
    <row r="247" spans="1:4" ht="15.75" thickBot="1" x14ac:dyDescent="0.3">
      <c r="A247" s="10" t="s">
        <v>950</v>
      </c>
      <c r="B247" s="10">
        <v>15</v>
      </c>
      <c r="C247" s="10" t="s">
        <v>991</v>
      </c>
      <c r="D247" s="10">
        <v>442</v>
      </c>
    </row>
    <row r="248" spans="1:4" ht="15.75" thickBot="1" x14ac:dyDescent="0.3">
      <c r="A248" s="10" t="s">
        <v>950</v>
      </c>
      <c r="B248" s="10">
        <v>15</v>
      </c>
      <c r="C248" s="10" t="s">
        <v>992</v>
      </c>
      <c r="D248" s="10">
        <v>455</v>
      </c>
    </row>
    <row r="249" spans="1:4" ht="15.75" thickBot="1" x14ac:dyDescent="0.3">
      <c r="A249" s="10" t="s">
        <v>950</v>
      </c>
      <c r="B249" s="10">
        <v>15</v>
      </c>
      <c r="C249" s="10" t="s">
        <v>993</v>
      </c>
      <c r="D249" s="10">
        <v>464</v>
      </c>
    </row>
    <row r="250" spans="1:4" ht="15.75" thickBot="1" x14ac:dyDescent="0.3">
      <c r="A250" s="10" t="s">
        <v>950</v>
      </c>
      <c r="B250" s="10">
        <v>15</v>
      </c>
      <c r="C250" s="10" t="s">
        <v>994</v>
      </c>
      <c r="D250" s="10">
        <v>466</v>
      </c>
    </row>
    <row r="251" spans="1:4" ht="15.75" thickBot="1" x14ac:dyDescent="0.3">
      <c r="A251" s="10" t="s">
        <v>950</v>
      </c>
      <c r="B251" s="10">
        <v>15</v>
      </c>
      <c r="C251" s="10" t="s">
        <v>995</v>
      </c>
      <c r="D251" s="10">
        <v>469</v>
      </c>
    </row>
    <row r="252" spans="1:4" ht="15.75" thickBot="1" x14ac:dyDescent="0.3">
      <c r="A252" s="10" t="s">
        <v>950</v>
      </c>
      <c r="B252" s="10">
        <v>15</v>
      </c>
      <c r="C252" s="10" t="s">
        <v>996</v>
      </c>
      <c r="D252" s="10">
        <v>476</v>
      </c>
    </row>
    <row r="253" spans="1:4" ht="15.75" thickBot="1" x14ac:dyDescent="0.3">
      <c r="A253" s="10" t="s">
        <v>950</v>
      </c>
      <c r="B253" s="10">
        <v>15</v>
      </c>
      <c r="C253" s="10" t="s">
        <v>997</v>
      </c>
      <c r="D253" s="10">
        <v>480</v>
      </c>
    </row>
    <row r="254" spans="1:4" ht="15.75" thickBot="1" x14ac:dyDescent="0.3">
      <c r="A254" s="10" t="s">
        <v>950</v>
      </c>
      <c r="B254" s="10">
        <v>15</v>
      </c>
      <c r="C254" s="10" t="s">
        <v>998</v>
      </c>
      <c r="D254" s="10">
        <v>491</v>
      </c>
    </row>
    <row r="255" spans="1:4" ht="15.75" thickBot="1" x14ac:dyDescent="0.3">
      <c r="A255" s="10" t="s">
        <v>950</v>
      </c>
      <c r="B255" s="10">
        <v>15</v>
      </c>
      <c r="C255" s="10" t="s">
        <v>999</v>
      </c>
      <c r="D255" s="10">
        <v>494</v>
      </c>
    </row>
    <row r="256" spans="1:4" ht="15.75" thickBot="1" x14ac:dyDescent="0.3">
      <c r="A256" s="10" t="s">
        <v>950</v>
      </c>
      <c r="B256" s="10">
        <v>15</v>
      </c>
      <c r="C256" s="10" t="s">
        <v>1000</v>
      </c>
      <c r="D256" s="10">
        <v>500</v>
      </c>
    </row>
    <row r="257" spans="1:4" ht="15.75" thickBot="1" x14ac:dyDescent="0.3">
      <c r="A257" s="10" t="s">
        <v>950</v>
      </c>
      <c r="B257" s="10">
        <v>15</v>
      </c>
      <c r="C257" s="10" t="s">
        <v>1001</v>
      </c>
      <c r="D257" s="10">
        <v>507</v>
      </c>
    </row>
    <row r="258" spans="1:4" ht="15.75" thickBot="1" x14ac:dyDescent="0.3">
      <c r="A258" s="10" t="s">
        <v>950</v>
      </c>
      <c r="B258" s="10">
        <v>15</v>
      </c>
      <c r="C258" s="10" t="s">
        <v>1002</v>
      </c>
      <c r="D258" s="10">
        <v>511</v>
      </c>
    </row>
    <row r="259" spans="1:4" ht="15.75" thickBot="1" x14ac:dyDescent="0.3">
      <c r="A259" s="10" t="s">
        <v>950</v>
      </c>
      <c r="B259" s="10">
        <v>15</v>
      </c>
      <c r="C259" s="10" t="s">
        <v>1003</v>
      </c>
      <c r="D259" s="10">
        <v>514</v>
      </c>
    </row>
    <row r="260" spans="1:4" ht="15.75" thickBot="1" x14ac:dyDescent="0.3">
      <c r="A260" s="10" t="s">
        <v>950</v>
      </c>
      <c r="B260" s="10">
        <v>15</v>
      </c>
      <c r="C260" s="10" t="s">
        <v>1004</v>
      </c>
      <c r="D260" s="10">
        <v>516</v>
      </c>
    </row>
    <row r="261" spans="1:4" ht="15.75" thickBot="1" x14ac:dyDescent="0.3">
      <c r="A261" s="10" t="s">
        <v>950</v>
      </c>
      <c r="B261" s="10">
        <v>15</v>
      </c>
      <c r="C261" s="10" t="s">
        <v>1005</v>
      </c>
      <c r="D261" s="10">
        <v>518</v>
      </c>
    </row>
    <row r="262" spans="1:4" ht="15.75" thickBot="1" x14ac:dyDescent="0.3">
      <c r="A262" s="10" t="s">
        <v>950</v>
      </c>
      <c r="B262" s="10">
        <v>15</v>
      </c>
      <c r="C262" s="10" t="s">
        <v>1006</v>
      </c>
      <c r="D262" s="10">
        <v>522</v>
      </c>
    </row>
    <row r="263" spans="1:4" ht="15.75" thickBot="1" x14ac:dyDescent="0.3">
      <c r="A263" s="10" t="s">
        <v>950</v>
      </c>
      <c r="B263" s="10">
        <v>15</v>
      </c>
      <c r="C263" s="10" t="s">
        <v>1007</v>
      </c>
      <c r="D263" s="10">
        <v>531</v>
      </c>
    </row>
    <row r="264" spans="1:4" ht="15.75" thickBot="1" x14ac:dyDescent="0.3">
      <c r="A264" s="10" t="s">
        <v>950</v>
      </c>
      <c r="B264" s="10">
        <v>15</v>
      </c>
      <c r="C264" s="10" t="s">
        <v>1008</v>
      </c>
      <c r="D264" s="10">
        <v>533</v>
      </c>
    </row>
    <row r="265" spans="1:4" ht="15.75" thickBot="1" x14ac:dyDescent="0.3">
      <c r="A265" s="10" t="s">
        <v>950</v>
      </c>
      <c r="B265" s="10">
        <v>15</v>
      </c>
      <c r="C265" s="10" t="s">
        <v>1009</v>
      </c>
      <c r="D265" s="10">
        <v>537</v>
      </c>
    </row>
    <row r="266" spans="1:4" ht="15.75" thickBot="1" x14ac:dyDescent="0.3">
      <c r="A266" s="10" t="s">
        <v>950</v>
      </c>
      <c r="B266" s="10">
        <v>15</v>
      </c>
      <c r="C266" s="10" t="s">
        <v>1010</v>
      </c>
      <c r="D266" s="10">
        <v>542</v>
      </c>
    </row>
    <row r="267" spans="1:4" ht="15.75" thickBot="1" x14ac:dyDescent="0.3">
      <c r="A267" s="10" t="s">
        <v>950</v>
      </c>
      <c r="B267" s="10">
        <v>15</v>
      </c>
      <c r="C267" s="10" t="s">
        <v>1011</v>
      </c>
      <c r="D267" s="10">
        <v>550</v>
      </c>
    </row>
    <row r="268" spans="1:4" ht="15.75" thickBot="1" x14ac:dyDescent="0.3">
      <c r="A268" s="10" t="s">
        <v>950</v>
      </c>
      <c r="B268" s="10">
        <v>15</v>
      </c>
      <c r="C268" s="10" t="s">
        <v>1012</v>
      </c>
      <c r="D268" s="10">
        <v>572</v>
      </c>
    </row>
    <row r="269" spans="1:4" ht="15.75" thickBot="1" x14ac:dyDescent="0.3">
      <c r="A269" s="10" t="s">
        <v>950</v>
      </c>
      <c r="B269" s="10">
        <v>15</v>
      </c>
      <c r="C269" s="10" t="s">
        <v>1013</v>
      </c>
      <c r="D269" s="10">
        <v>580</v>
      </c>
    </row>
    <row r="270" spans="1:4" ht="15.75" thickBot="1" x14ac:dyDescent="0.3">
      <c r="A270" s="10" t="s">
        <v>950</v>
      </c>
      <c r="B270" s="10">
        <v>15</v>
      </c>
      <c r="C270" s="10" t="s">
        <v>1014</v>
      </c>
      <c r="D270" s="10">
        <v>599</v>
      </c>
    </row>
    <row r="271" spans="1:4" ht="15.75" thickBot="1" x14ac:dyDescent="0.3">
      <c r="A271" s="10" t="s">
        <v>950</v>
      </c>
      <c r="B271" s="10">
        <v>15</v>
      </c>
      <c r="C271" s="10" t="s">
        <v>1015</v>
      </c>
      <c r="D271" s="10">
        <v>600</v>
      </c>
    </row>
    <row r="272" spans="1:4" ht="15.75" thickBot="1" x14ac:dyDescent="0.3">
      <c r="A272" s="10" t="s">
        <v>950</v>
      </c>
      <c r="B272" s="10">
        <v>15</v>
      </c>
      <c r="C272" s="10" t="s">
        <v>1016</v>
      </c>
      <c r="D272" s="10">
        <v>621</v>
      </c>
    </row>
    <row r="273" spans="1:4" ht="15.75" thickBot="1" x14ac:dyDescent="0.3">
      <c r="A273" s="10" t="s">
        <v>950</v>
      </c>
      <c r="B273" s="10">
        <v>15</v>
      </c>
      <c r="C273" s="10" t="s">
        <v>1017</v>
      </c>
      <c r="D273" s="10">
        <v>632</v>
      </c>
    </row>
    <row r="274" spans="1:4" ht="15.75" thickBot="1" x14ac:dyDescent="0.3">
      <c r="A274" s="10" t="s">
        <v>950</v>
      </c>
      <c r="B274" s="10">
        <v>15</v>
      </c>
      <c r="C274" s="10" t="s">
        <v>1018</v>
      </c>
      <c r="D274" s="10">
        <v>638</v>
      </c>
    </row>
    <row r="275" spans="1:4" ht="15.75" thickBot="1" x14ac:dyDescent="0.3">
      <c r="A275" s="10" t="s">
        <v>950</v>
      </c>
      <c r="B275" s="10">
        <v>15</v>
      </c>
      <c r="C275" s="10" t="s">
        <v>1019</v>
      </c>
      <c r="D275" s="10">
        <v>646</v>
      </c>
    </row>
    <row r="276" spans="1:4" ht="15.75" thickBot="1" x14ac:dyDescent="0.3">
      <c r="A276" s="10" t="s">
        <v>950</v>
      </c>
      <c r="B276" s="10">
        <v>15</v>
      </c>
      <c r="C276" s="10" t="s">
        <v>1020</v>
      </c>
      <c r="D276" s="10">
        <v>660</v>
      </c>
    </row>
    <row r="277" spans="1:4" ht="15.75" thickBot="1" x14ac:dyDescent="0.3">
      <c r="A277" s="10" t="s">
        <v>950</v>
      </c>
      <c r="B277" s="10">
        <v>15</v>
      </c>
      <c r="C277" s="10" t="s">
        <v>1021</v>
      </c>
      <c r="D277" s="10">
        <v>664</v>
      </c>
    </row>
    <row r="278" spans="1:4" ht="15.75" thickBot="1" x14ac:dyDescent="0.3">
      <c r="A278" s="10" t="s">
        <v>950</v>
      </c>
      <c r="B278" s="10">
        <v>15</v>
      </c>
      <c r="C278" s="10" t="s">
        <v>1022</v>
      </c>
      <c r="D278" s="10">
        <v>667</v>
      </c>
    </row>
    <row r="279" spans="1:4" ht="15.75" thickBot="1" x14ac:dyDescent="0.3">
      <c r="A279" s="10" t="s">
        <v>950</v>
      </c>
      <c r="B279" s="10">
        <v>15</v>
      </c>
      <c r="C279" s="10" t="s">
        <v>1023</v>
      </c>
      <c r="D279" s="10">
        <v>673</v>
      </c>
    </row>
    <row r="280" spans="1:4" ht="15.75" thickBot="1" x14ac:dyDescent="0.3">
      <c r="A280" s="10" t="s">
        <v>950</v>
      </c>
      <c r="B280" s="10">
        <v>15</v>
      </c>
      <c r="C280" s="10" t="s">
        <v>1024</v>
      </c>
      <c r="D280" s="10">
        <v>676</v>
      </c>
    </row>
    <row r="281" spans="1:4" ht="15.75" thickBot="1" x14ac:dyDescent="0.3">
      <c r="A281" s="10" t="s">
        <v>950</v>
      </c>
      <c r="B281" s="10">
        <v>15</v>
      </c>
      <c r="C281" s="10" t="s">
        <v>1025</v>
      </c>
      <c r="D281" s="10">
        <v>681</v>
      </c>
    </row>
    <row r="282" spans="1:4" ht="15.75" thickBot="1" x14ac:dyDescent="0.3">
      <c r="A282" s="10" t="s">
        <v>950</v>
      </c>
      <c r="B282" s="10">
        <v>15</v>
      </c>
      <c r="C282" s="10" t="s">
        <v>1026</v>
      </c>
      <c r="D282" s="10">
        <v>686</v>
      </c>
    </row>
    <row r="283" spans="1:4" ht="15.75" thickBot="1" x14ac:dyDescent="0.3">
      <c r="A283" s="10" t="s">
        <v>950</v>
      </c>
      <c r="B283" s="10">
        <v>15</v>
      </c>
      <c r="C283" s="10" t="s">
        <v>1027</v>
      </c>
      <c r="D283" s="10">
        <v>690</v>
      </c>
    </row>
    <row r="284" spans="1:4" ht="15.75" thickBot="1" x14ac:dyDescent="0.3">
      <c r="A284" s="10" t="s">
        <v>950</v>
      </c>
      <c r="B284" s="10">
        <v>15</v>
      </c>
      <c r="C284" s="10" t="s">
        <v>1028</v>
      </c>
      <c r="D284" s="10">
        <v>693</v>
      </c>
    </row>
    <row r="285" spans="1:4" ht="15.75" thickBot="1" x14ac:dyDescent="0.3">
      <c r="A285" s="10" t="s">
        <v>950</v>
      </c>
      <c r="B285" s="10">
        <v>15</v>
      </c>
      <c r="C285" s="10" t="s">
        <v>1029</v>
      </c>
      <c r="D285" s="10">
        <v>696</v>
      </c>
    </row>
    <row r="286" spans="1:4" ht="15.75" thickBot="1" x14ac:dyDescent="0.3">
      <c r="A286" s="10" t="s">
        <v>950</v>
      </c>
      <c r="B286" s="10">
        <v>15</v>
      </c>
      <c r="C286" s="10" t="s">
        <v>1030</v>
      </c>
      <c r="D286" s="10">
        <v>720</v>
      </c>
    </row>
    <row r="287" spans="1:4" ht="15.75" thickBot="1" x14ac:dyDescent="0.3">
      <c r="A287" s="10" t="s">
        <v>950</v>
      </c>
      <c r="B287" s="10">
        <v>15</v>
      </c>
      <c r="C287" s="10" t="s">
        <v>1031</v>
      </c>
      <c r="D287" s="10">
        <v>723</v>
      </c>
    </row>
    <row r="288" spans="1:4" ht="15.75" thickBot="1" x14ac:dyDescent="0.3">
      <c r="A288" s="10" t="s">
        <v>950</v>
      </c>
      <c r="B288" s="10">
        <v>15</v>
      </c>
      <c r="C288" s="10" t="s">
        <v>1032</v>
      </c>
      <c r="D288" s="10">
        <v>740</v>
      </c>
    </row>
    <row r="289" spans="1:4" ht="15.75" thickBot="1" x14ac:dyDescent="0.3">
      <c r="A289" s="10" t="s">
        <v>950</v>
      </c>
      <c r="B289" s="10">
        <v>15</v>
      </c>
      <c r="C289" s="10" t="s">
        <v>1033</v>
      </c>
      <c r="D289" s="10">
        <v>753</v>
      </c>
    </row>
    <row r="290" spans="1:4" ht="15.75" thickBot="1" x14ac:dyDescent="0.3">
      <c r="A290" s="10" t="s">
        <v>950</v>
      </c>
      <c r="B290" s="10">
        <v>15</v>
      </c>
      <c r="C290" s="10" t="s">
        <v>1034</v>
      </c>
      <c r="D290" s="10">
        <v>755</v>
      </c>
    </row>
    <row r="291" spans="1:4" ht="15.75" thickBot="1" x14ac:dyDescent="0.3">
      <c r="A291" s="10" t="s">
        <v>950</v>
      </c>
      <c r="B291" s="10">
        <v>15</v>
      </c>
      <c r="C291" s="10" t="s">
        <v>1035</v>
      </c>
      <c r="D291" s="10">
        <v>757</v>
      </c>
    </row>
    <row r="292" spans="1:4" ht="15.75" thickBot="1" x14ac:dyDescent="0.3">
      <c r="A292" s="10" t="s">
        <v>950</v>
      </c>
      <c r="B292" s="10">
        <v>15</v>
      </c>
      <c r="C292" s="10" t="s">
        <v>1036</v>
      </c>
      <c r="D292" s="10">
        <v>759</v>
      </c>
    </row>
    <row r="293" spans="1:4" ht="15.75" thickBot="1" x14ac:dyDescent="0.3">
      <c r="A293" s="10" t="s">
        <v>950</v>
      </c>
      <c r="B293" s="10">
        <v>15</v>
      </c>
      <c r="C293" s="10" t="s">
        <v>1037</v>
      </c>
      <c r="D293" s="10">
        <v>761</v>
      </c>
    </row>
    <row r="294" spans="1:4" ht="15.75" thickBot="1" x14ac:dyDescent="0.3">
      <c r="A294" s="10" t="s">
        <v>950</v>
      </c>
      <c r="B294" s="10">
        <v>15</v>
      </c>
      <c r="C294" s="10" t="s">
        <v>1038</v>
      </c>
      <c r="D294" s="10">
        <v>762</v>
      </c>
    </row>
    <row r="295" spans="1:4" ht="15.75" thickBot="1" x14ac:dyDescent="0.3">
      <c r="A295" s="10" t="s">
        <v>950</v>
      </c>
      <c r="B295" s="10">
        <v>15</v>
      </c>
      <c r="C295" s="10" t="s">
        <v>1039</v>
      </c>
      <c r="D295" s="10">
        <v>763</v>
      </c>
    </row>
    <row r="296" spans="1:4" ht="15.75" thickBot="1" x14ac:dyDescent="0.3">
      <c r="A296" s="10" t="s">
        <v>950</v>
      </c>
      <c r="B296" s="10">
        <v>15</v>
      </c>
      <c r="C296" s="10" t="s">
        <v>1040</v>
      </c>
      <c r="D296" s="10">
        <v>764</v>
      </c>
    </row>
    <row r="297" spans="1:4" ht="15.75" thickBot="1" x14ac:dyDescent="0.3">
      <c r="A297" s="10" t="s">
        <v>950</v>
      </c>
      <c r="B297" s="10">
        <v>15</v>
      </c>
      <c r="C297" s="10" t="s">
        <v>1041</v>
      </c>
      <c r="D297" s="10">
        <v>774</v>
      </c>
    </row>
    <row r="298" spans="1:4" ht="15.75" thickBot="1" x14ac:dyDescent="0.3">
      <c r="A298" s="10" t="s">
        <v>950</v>
      </c>
      <c r="B298" s="10">
        <v>15</v>
      </c>
      <c r="C298" s="10" t="s">
        <v>1042</v>
      </c>
      <c r="D298" s="10">
        <v>776</v>
      </c>
    </row>
    <row r="299" spans="1:4" ht="15.75" thickBot="1" x14ac:dyDescent="0.3">
      <c r="A299" s="10" t="s">
        <v>950</v>
      </c>
      <c r="B299" s="10">
        <v>15</v>
      </c>
      <c r="C299" s="10" t="s">
        <v>1043</v>
      </c>
      <c r="D299" s="10">
        <v>778</v>
      </c>
    </row>
    <row r="300" spans="1:4" ht="15.75" thickBot="1" x14ac:dyDescent="0.3">
      <c r="A300" s="10" t="s">
        <v>950</v>
      </c>
      <c r="B300" s="10">
        <v>15</v>
      </c>
      <c r="C300" s="10" t="s">
        <v>1044</v>
      </c>
      <c r="D300" s="10">
        <v>790</v>
      </c>
    </row>
    <row r="301" spans="1:4" ht="15.75" thickBot="1" x14ac:dyDescent="0.3">
      <c r="A301" s="10" t="s">
        <v>950</v>
      </c>
      <c r="B301" s="10">
        <v>15</v>
      </c>
      <c r="C301" s="10" t="s">
        <v>1045</v>
      </c>
      <c r="D301" s="10">
        <v>798</v>
      </c>
    </row>
    <row r="302" spans="1:4" ht="15.75" thickBot="1" x14ac:dyDescent="0.3">
      <c r="A302" s="10" t="s">
        <v>950</v>
      </c>
      <c r="B302" s="10">
        <v>15</v>
      </c>
      <c r="C302" s="10" t="s">
        <v>1046</v>
      </c>
      <c r="D302" s="10">
        <v>804</v>
      </c>
    </row>
    <row r="303" spans="1:4" ht="15.75" thickBot="1" x14ac:dyDescent="0.3">
      <c r="A303" s="10" t="s">
        <v>950</v>
      </c>
      <c r="B303" s="10">
        <v>15</v>
      </c>
      <c r="C303" s="10" t="s">
        <v>1047</v>
      </c>
      <c r="D303" s="10">
        <v>806</v>
      </c>
    </row>
    <row r="304" spans="1:4" ht="15.75" thickBot="1" x14ac:dyDescent="0.3">
      <c r="A304" s="10" t="s">
        <v>950</v>
      </c>
      <c r="B304" s="10">
        <v>15</v>
      </c>
      <c r="C304" s="10" t="s">
        <v>1048</v>
      </c>
      <c r="D304" s="10">
        <v>808</v>
      </c>
    </row>
    <row r="305" spans="1:4" ht="15.75" thickBot="1" x14ac:dyDescent="0.3">
      <c r="A305" s="10" t="s">
        <v>950</v>
      </c>
      <c r="B305" s="10">
        <v>15</v>
      </c>
      <c r="C305" s="10" t="s">
        <v>1049</v>
      </c>
      <c r="D305" s="10">
        <v>810</v>
      </c>
    </row>
    <row r="306" spans="1:4" ht="15.75" thickBot="1" x14ac:dyDescent="0.3">
      <c r="A306" s="10" t="s">
        <v>950</v>
      </c>
      <c r="B306" s="10">
        <v>15</v>
      </c>
      <c r="C306" s="10" t="s">
        <v>1050</v>
      </c>
      <c r="D306" s="10">
        <v>814</v>
      </c>
    </row>
    <row r="307" spans="1:4" ht="15.75" thickBot="1" x14ac:dyDescent="0.3">
      <c r="A307" s="10" t="s">
        <v>950</v>
      </c>
      <c r="B307" s="10">
        <v>15</v>
      </c>
      <c r="C307" s="10" t="s">
        <v>1051</v>
      </c>
      <c r="D307" s="10">
        <v>816</v>
      </c>
    </row>
    <row r="308" spans="1:4" ht="15.75" thickBot="1" x14ac:dyDescent="0.3">
      <c r="A308" s="10" t="s">
        <v>950</v>
      </c>
      <c r="B308" s="10">
        <v>15</v>
      </c>
      <c r="C308" s="10" t="s">
        <v>1052</v>
      </c>
      <c r="D308" s="10">
        <v>820</v>
      </c>
    </row>
    <row r="309" spans="1:4" ht="15.75" thickBot="1" x14ac:dyDescent="0.3">
      <c r="A309" s="10" t="s">
        <v>950</v>
      </c>
      <c r="B309" s="10">
        <v>15</v>
      </c>
      <c r="C309" s="10" t="s">
        <v>1053</v>
      </c>
      <c r="D309" s="10">
        <v>822</v>
      </c>
    </row>
    <row r="310" spans="1:4" ht="15.75" thickBot="1" x14ac:dyDescent="0.3">
      <c r="A310" s="10" t="s">
        <v>950</v>
      </c>
      <c r="B310" s="10">
        <v>15</v>
      </c>
      <c r="C310" s="10" t="s">
        <v>1054</v>
      </c>
      <c r="D310" s="10">
        <v>832</v>
      </c>
    </row>
    <row r="311" spans="1:4" ht="15.75" thickBot="1" x14ac:dyDescent="0.3">
      <c r="A311" s="10" t="s">
        <v>950</v>
      </c>
      <c r="B311" s="10">
        <v>15</v>
      </c>
      <c r="C311" s="10" t="s">
        <v>1055</v>
      </c>
      <c r="D311" s="10">
        <v>835</v>
      </c>
    </row>
    <row r="312" spans="1:4" ht="15.75" thickBot="1" x14ac:dyDescent="0.3">
      <c r="A312" s="10" t="s">
        <v>950</v>
      </c>
      <c r="B312" s="10">
        <v>15</v>
      </c>
      <c r="C312" s="10" t="s">
        <v>1056</v>
      </c>
      <c r="D312" s="10">
        <v>837</v>
      </c>
    </row>
    <row r="313" spans="1:4" ht="15.75" thickBot="1" x14ac:dyDescent="0.3">
      <c r="A313" s="10" t="s">
        <v>950</v>
      </c>
      <c r="B313" s="10">
        <v>15</v>
      </c>
      <c r="C313" s="10" t="s">
        <v>1057</v>
      </c>
      <c r="D313" s="10">
        <v>839</v>
      </c>
    </row>
    <row r="314" spans="1:4" ht="15.75" thickBot="1" x14ac:dyDescent="0.3">
      <c r="A314" s="10" t="s">
        <v>950</v>
      </c>
      <c r="B314" s="10">
        <v>15</v>
      </c>
      <c r="C314" s="10" t="s">
        <v>1058</v>
      </c>
      <c r="D314" s="10">
        <v>842</v>
      </c>
    </row>
    <row r="315" spans="1:4" ht="15.75" thickBot="1" x14ac:dyDescent="0.3">
      <c r="A315" s="10" t="s">
        <v>950</v>
      </c>
      <c r="B315" s="10">
        <v>15</v>
      </c>
      <c r="C315" s="10" t="s">
        <v>1059</v>
      </c>
      <c r="D315" s="10">
        <v>861</v>
      </c>
    </row>
    <row r="316" spans="1:4" ht="15.75" thickBot="1" x14ac:dyDescent="0.3">
      <c r="A316" s="10" t="s">
        <v>950</v>
      </c>
      <c r="B316" s="10">
        <v>15</v>
      </c>
      <c r="C316" s="10" t="s">
        <v>1060</v>
      </c>
      <c r="D316" s="10">
        <v>879</v>
      </c>
    </row>
    <row r="317" spans="1:4" ht="15.75" thickBot="1" x14ac:dyDescent="0.3">
      <c r="A317" s="10" t="s">
        <v>950</v>
      </c>
      <c r="B317" s="10">
        <v>15</v>
      </c>
      <c r="C317" s="10" t="s">
        <v>1061</v>
      </c>
      <c r="D317" s="10">
        <v>897</v>
      </c>
    </row>
    <row r="318" spans="1:4" ht="15.75" thickBot="1" x14ac:dyDescent="0.3">
      <c r="A318" s="10" t="s">
        <v>778</v>
      </c>
      <c r="B318" s="10">
        <v>17</v>
      </c>
      <c r="C318" s="10" t="s">
        <v>1062</v>
      </c>
      <c r="D318" s="10">
        <v>1</v>
      </c>
    </row>
    <row r="319" spans="1:4" ht="15.75" thickBot="1" x14ac:dyDescent="0.3">
      <c r="A319" s="10" t="s">
        <v>778</v>
      </c>
      <c r="B319" s="10">
        <v>17</v>
      </c>
      <c r="C319" s="10" t="s">
        <v>1063</v>
      </c>
      <c r="D319" s="10">
        <v>13</v>
      </c>
    </row>
    <row r="320" spans="1:4" ht="15.75" thickBot="1" x14ac:dyDescent="0.3">
      <c r="A320" s="10" t="s">
        <v>778</v>
      </c>
      <c r="B320" s="10">
        <v>17</v>
      </c>
      <c r="C320" s="10" t="s">
        <v>1064</v>
      </c>
      <c r="D320" s="10">
        <v>42</v>
      </c>
    </row>
    <row r="321" spans="1:4" ht="15.75" thickBot="1" x14ac:dyDescent="0.3">
      <c r="A321" s="10" t="s">
        <v>778</v>
      </c>
      <c r="B321" s="10">
        <v>17</v>
      </c>
      <c r="C321" s="10" t="s">
        <v>1065</v>
      </c>
      <c r="D321" s="10">
        <v>50</v>
      </c>
    </row>
    <row r="322" spans="1:4" ht="15.75" thickBot="1" x14ac:dyDescent="0.3">
      <c r="A322" s="10" t="s">
        <v>778</v>
      </c>
      <c r="B322" s="10">
        <v>17</v>
      </c>
      <c r="C322" s="10" t="s">
        <v>1066</v>
      </c>
      <c r="D322" s="10">
        <v>88</v>
      </c>
    </row>
    <row r="323" spans="1:4" ht="15.75" thickBot="1" x14ac:dyDescent="0.3">
      <c r="A323" s="10" t="s">
        <v>778</v>
      </c>
      <c r="B323" s="10">
        <v>17</v>
      </c>
      <c r="C323" s="10" t="s">
        <v>1067</v>
      </c>
      <c r="D323" s="10">
        <v>174</v>
      </c>
    </row>
    <row r="324" spans="1:4" ht="15.75" thickBot="1" x14ac:dyDescent="0.3">
      <c r="A324" s="10" t="s">
        <v>778</v>
      </c>
      <c r="B324" s="10">
        <v>17</v>
      </c>
      <c r="C324" s="10" t="s">
        <v>1068</v>
      </c>
      <c r="D324" s="10">
        <v>272</v>
      </c>
    </row>
    <row r="325" spans="1:4" ht="15.75" thickBot="1" x14ac:dyDescent="0.3">
      <c r="A325" s="10" t="s">
        <v>778</v>
      </c>
      <c r="B325" s="10">
        <v>17</v>
      </c>
      <c r="C325" s="10" t="s">
        <v>1069</v>
      </c>
      <c r="D325" s="10">
        <v>380</v>
      </c>
    </row>
    <row r="326" spans="1:4" ht="15.75" thickBot="1" x14ac:dyDescent="0.3">
      <c r="A326" s="10" t="s">
        <v>778</v>
      </c>
      <c r="B326" s="10">
        <v>17</v>
      </c>
      <c r="C326" s="10" t="s">
        <v>1070</v>
      </c>
      <c r="D326" s="10">
        <v>388</v>
      </c>
    </row>
    <row r="327" spans="1:4" ht="15.75" thickBot="1" x14ac:dyDescent="0.3">
      <c r="A327" s="10" t="s">
        <v>778</v>
      </c>
      <c r="B327" s="10">
        <v>17</v>
      </c>
      <c r="C327" s="10" t="s">
        <v>1071</v>
      </c>
      <c r="D327" s="10">
        <v>433</v>
      </c>
    </row>
    <row r="328" spans="1:4" ht="15.75" thickBot="1" x14ac:dyDescent="0.3">
      <c r="A328" s="10" t="s">
        <v>778</v>
      </c>
      <c r="B328" s="10">
        <v>17</v>
      </c>
      <c r="C328" s="10" t="s">
        <v>1072</v>
      </c>
      <c r="D328" s="10">
        <v>442</v>
      </c>
    </row>
    <row r="329" spans="1:4" ht="15.75" thickBot="1" x14ac:dyDescent="0.3">
      <c r="A329" s="10" t="s">
        <v>778</v>
      </c>
      <c r="B329" s="10">
        <v>17</v>
      </c>
      <c r="C329" s="10" t="s">
        <v>1073</v>
      </c>
      <c r="D329" s="10">
        <v>444</v>
      </c>
    </row>
    <row r="330" spans="1:4" ht="15.75" thickBot="1" x14ac:dyDescent="0.3">
      <c r="A330" s="10" t="s">
        <v>778</v>
      </c>
      <c r="B330" s="10">
        <v>17</v>
      </c>
      <c r="C330" s="10" t="s">
        <v>1074</v>
      </c>
      <c r="D330" s="10">
        <v>446</v>
      </c>
    </row>
    <row r="331" spans="1:4" ht="15.75" thickBot="1" x14ac:dyDescent="0.3">
      <c r="A331" s="10" t="s">
        <v>778</v>
      </c>
      <c r="B331" s="10">
        <v>17</v>
      </c>
      <c r="C331" s="10" t="s">
        <v>1075</v>
      </c>
      <c r="D331" s="10">
        <v>486</v>
      </c>
    </row>
    <row r="332" spans="1:4" ht="15.75" thickBot="1" x14ac:dyDescent="0.3">
      <c r="A332" s="10" t="s">
        <v>778</v>
      </c>
      <c r="B332" s="10">
        <v>17</v>
      </c>
      <c r="C332" s="10" t="s">
        <v>1076</v>
      </c>
      <c r="D332" s="10">
        <v>495</v>
      </c>
    </row>
    <row r="333" spans="1:4" ht="15.75" thickBot="1" x14ac:dyDescent="0.3">
      <c r="A333" s="10" t="s">
        <v>778</v>
      </c>
      <c r="B333" s="10">
        <v>17</v>
      </c>
      <c r="C333" s="10" t="s">
        <v>1077</v>
      </c>
      <c r="D333" s="10">
        <v>513</v>
      </c>
    </row>
    <row r="334" spans="1:4" ht="15.75" thickBot="1" x14ac:dyDescent="0.3">
      <c r="A334" s="10" t="s">
        <v>778</v>
      </c>
      <c r="B334" s="10">
        <v>17</v>
      </c>
      <c r="C334" s="10" t="s">
        <v>1078</v>
      </c>
      <c r="D334" s="10">
        <v>524</v>
      </c>
    </row>
    <row r="335" spans="1:4" ht="15.75" thickBot="1" x14ac:dyDescent="0.3">
      <c r="A335" s="10" t="s">
        <v>778</v>
      </c>
      <c r="B335" s="10">
        <v>17</v>
      </c>
      <c r="C335" s="10" t="s">
        <v>1079</v>
      </c>
      <c r="D335" s="10">
        <v>541</v>
      </c>
    </row>
    <row r="336" spans="1:4" ht="15.75" thickBot="1" x14ac:dyDescent="0.3">
      <c r="A336" s="10" t="s">
        <v>778</v>
      </c>
      <c r="B336" s="10">
        <v>17</v>
      </c>
      <c r="C336" s="10" t="s">
        <v>1080</v>
      </c>
      <c r="D336" s="10">
        <v>614</v>
      </c>
    </row>
    <row r="337" spans="1:4" ht="15.75" thickBot="1" x14ac:dyDescent="0.3">
      <c r="A337" s="10" t="s">
        <v>778</v>
      </c>
      <c r="B337" s="10">
        <v>17</v>
      </c>
      <c r="C337" s="10" t="s">
        <v>1081</v>
      </c>
      <c r="D337" s="10">
        <v>616</v>
      </c>
    </row>
    <row r="338" spans="1:4" ht="15.75" thickBot="1" x14ac:dyDescent="0.3">
      <c r="A338" s="10" t="s">
        <v>778</v>
      </c>
      <c r="B338" s="10">
        <v>17</v>
      </c>
      <c r="C338" s="10" t="s">
        <v>1082</v>
      </c>
      <c r="D338" s="10">
        <v>653</v>
      </c>
    </row>
    <row r="339" spans="1:4" ht="15.75" thickBot="1" x14ac:dyDescent="0.3">
      <c r="A339" s="10" t="s">
        <v>778</v>
      </c>
      <c r="B339" s="10">
        <v>17</v>
      </c>
      <c r="C339" s="10" t="s">
        <v>1083</v>
      </c>
      <c r="D339" s="10">
        <v>662</v>
      </c>
    </row>
    <row r="340" spans="1:4" ht="15.75" thickBot="1" x14ac:dyDescent="0.3">
      <c r="A340" s="10" t="s">
        <v>778</v>
      </c>
      <c r="B340" s="10">
        <v>17</v>
      </c>
      <c r="C340" s="10" t="s">
        <v>1084</v>
      </c>
      <c r="D340" s="10">
        <v>665</v>
      </c>
    </row>
    <row r="341" spans="1:4" ht="15.75" thickBot="1" x14ac:dyDescent="0.3">
      <c r="A341" s="10" t="s">
        <v>778</v>
      </c>
      <c r="B341" s="10">
        <v>17</v>
      </c>
      <c r="C341" s="10" t="s">
        <v>1085</v>
      </c>
      <c r="D341" s="10">
        <v>777</v>
      </c>
    </row>
    <row r="342" spans="1:4" ht="15.75" thickBot="1" x14ac:dyDescent="0.3">
      <c r="A342" s="10" t="s">
        <v>778</v>
      </c>
      <c r="B342" s="10">
        <v>17</v>
      </c>
      <c r="C342" s="10" t="s">
        <v>1086</v>
      </c>
      <c r="D342" s="10">
        <v>867</v>
      </c>
    </row>
    <row r="343" spans="1:4" ht="15.75" thickBot="1" x14ac:dyDescent="0.3">
      <c r="A343" s="10" t="s">
        <v>778</v>
      </c>
      <c r="B343" s="10">
        <v>17</v>
      </c>
      <c r="C343" s="10" t="s">
        <v>1087</v>
      </c>
      <c r="D343" s="10">
        <v>873</v>
      </c>
    </row>
    <row r="344" spans="1:4" ht="15.75" thickBot="1" x14ac:dyDescent="0.3">
      <c r="A344" s="10" t="s">
        <v>778</v>
      </c>
      <c r="B344" s="10">
        <v>17</v>
      </c>
      <c r="C344" s="10" t="s">
        <v>1088</v>
      </c>
      <c r="D344" s="10">
        <v>877</v>
      </c>
    </row>
    <row r="345" spans="1:4" ht="15.75" thickBot="1" x14ac:dyDescent="0.3">
      <c r="A345" s="10" t="s">
        <v>1761</v>
      </c>
      <c r="B345" s="10">
        <v>18</v>
      </c>
      <c r="C345" s="10" t="s">
        <v>1089</v>
      </c>
      <c r="D345" s="10">
        <v>1</v>
      </c>
    </row>
    <row r="346" spans="1:4" ht="15.75" thickBot="1" x14ac:dyDescent="0.3">
      <c r="A346" s="10" t="s">
        <v>1761</v>
      </c>
      <c r="B346" s="10">
        <v>18</v>
      </c>
      <c r="C346" s="10" t="s">
        <v>1090</v>
      </c>
      <c r="D346" s="10">
        <v>29</v>
      </c>
    </row>
    <row r="347" spans="1:4" ht="15.75" thickBot="1" x14ac:dyDescent="0.3">
      <c r="A347" s="10" t="s">
        <v>1761</v>
      </c>
      <c r="B347" s="10">
        <v>18</v>
      </c>
      <c r="C347" s="10" t="s">
        <v>1091</v>
      </c>
      <c r="D347" s="10">
        <v>94</v>
      </c>
    </row>
    <row r="348" spans="1:4" ht="15.75" thickBot="1" x14ac:dyDescent="0.3">
      <c r="A348" s="10" t="s">
        <v>1761</v>
      </c>
      <c r="B348" s="10">
        <v>18</v>
      </c>
      <c r="C348" s="10" t="s">
        <v>1092</v>
      </c>
      <c r="D348" s="10">
        <v>150</v>
      </c>
    </row>
    <row r="349" spans="1:4" ht="15.75" thickBot="1" x14ac:dyDescent="0.3">
      <c r="A349" s="10" t="s">
        <v>1761</v>
      </c>
      <c r="B349" s="10">
        <v>18</v>
      </c>
      <c r="C349" s="10" t="s">
        <v>1093</v>
      </c>
      <c r="D349" s="10">
        <v>205</v>
      </c>
    </row>
    <row r="350" spans="1:4" ht="15.75" thickBot="1" x14ac:dyDescent="0.3">
      <c r="A350" s="10" t="s">
        <v>1761</v>
      </c>
      <c r="B350" s="10">
        <v>18</v>
      </c>
      <c r="C350" s="10" t="s">
        <v>1094</v>
      </c>
      <c r="D350" s="10">
        <v>247</v>
      </c>
    </row>
    <row r="351" spans="1:4" ht="15.75" thickBot="1" x14ac:dyDescent="0.3">
      <c r="A351" s="10" t="s">
        <v>1761</v>
      </c>
      <c r="B351" s="10">
        <v>18</v>
      </c>
      <c r="C351" s="10" t="s">
        <v>1095</v>
      </c>
      <c r="D351" s="10">
        <v>256</v>
      </c>
    </row>
    <row r="352" spans="1:4" ht="15.75" thickBot="1" x14ac:dyDescent="0.3">
      <c r="A352" s="10" t="s">
        <v>1761</v>
      </c>
      <c r="B352" s="10">
        <v>18</v>
      </c>
      <c r="C352" s="10" t="s">
        <v>1096</v>
      </c>
      <c r="D352" s="10">
        <v>410</v>
      </c>
    </row>
    <row r="353" spans="1:4" ht="15.75" thickBot="1" x14ac:dyDescent="0.3">
      <c r="A353" s="10" t="s">
        <v>1761</v>
      </c>
      <c r="B353" s="10">
        <v>18</v>
      </c>
      <c r="C353" s="10" t="s">
        <v>1097</v>
      </c>
      <c r="D353" s="10">
        <v>460</v>
      </c>
    </row>
    <row r="354" spans="1:4" ht="15.75" thickBot="1" x14ac:dyDescent="0.3">
      <c r="A354" s="10" t="s">
        <v>1761</v>
      </c>
      <c r="B354" s="10">
        <v>18</v>
      </c>
      <c r="C354" s="10" t="s">
        <v>1098</v>
      </c>
      <c r="D354" s="10">
        <v>479</v>
      </c>
    </row>
    <row r="355" spans="1:4" ht="15.75" thickBot="1" x14ac:dyDescent="0.3">
      <c r="A355" s="10" t="s">
        <v>1761</v>
      </c>
      <c r="B355" s="10">
        <v>18</v>
      </c>
      <c r="C355" s="10" t="s">
        <v>1099</v>
      </c>
      <c r="D355" s="10">
        <v>592</v>
      </c>
    </row>
    <row r="356" spans="1:4" ht="15.75" thickBot="1" x14ac:dyDescent="0.3">
      <c r="A356" s="10" t="s">
        <v>1761</v>
      </c>
      <c r="B356" s="10">
        <v>18</v>
      </c>
      <c r="C356" s="10" t="s">
        <v>1100</v>
      </c>
      <c r="D356" s="10">
        <v>610</v>
      </c>
    </row>
    <row r="357" spans="1:4" ht="15.75" thickBot="1" x14ac:dyDescent="0.3">
      <c r="A357" s="10" t="s">
        <v>1761</v>
      </c>
      <c r="B357" s="10">
        <v>18</v>
      </c>
      <c r="C357" s="10" t="s">
        <v>1757</v>
      </c>
      <c r="D357" s="10">
        <v>753</v>
      </c>
    </row>
    <row r="358" spans="1:4" ht="15.75" thickBot="1" x14ac:dyDescent="0.3">
      <c r="A358" s="10" t="s">
        <v>1761</v>
      </c>
      <c r="B358" s="10">
        <v>18</v>
      </c>
      <c r="C358" s="10" t="s">
        <v>1101</v>
      </c>
      <c r="D358" s="10">
        <v>756</v>
      </c>
    </row>
    <row r="359" spans="1:4" ht="15.75" thickBot="1" x14ac:dyDescent="0.3">
      <c r="A359" s="10" t="s">
        <v>1761</v>
      </c>
      <c r="B359" s="10">
        <v>18</v>
      </c>
      <c r="C359" s="10" t="s">
        <v>1102</v>
      </c>
      <c r="D359" s="10">
        <v>785</v>
      </c>
    </row>
    <row r="360" spans="1:4" ht="15.75" thickBot="1" x14ac:dyDescent="0.3">
      <c r="A360" s="10" t="s">
        <v>1761</v>
      </c>
      <c r="B360" s="10">
        <v>18</v>
      </c>
      <c r="C360" s="10" t="s">
        <v>868</v>
      </c>
      <c r="D360" s="10">
        <v>860</v>
      </c>
    </row>
    <row r="361" spans="1:4" ht="15.75" thickBot="1" x14ac:dyDescent="0.3">
      <c r="A361" s="10" t="s">
        <v>1762</v>
      </c>
      <c r="B361" s="10">
        <v>19</v>
      </c>
      <c r="C361" s="10" t="s">
        <v>1103</v>
      </c>
      <c r="D361" s="10">
        <v>1</v>
      </c>
    </row>
    <row r="362" spans="1:4" ht="15.75" thickBot="1" x14ac:dyDescent="0.3">
      <c r="A362" s="10" t="s">
        <v>1762</v>
      </c>
      <c r="B362" s="10">
        <v>19</v>
      </c>
      <c r="C362" s="10" t="s">
        <v>1104</v>
      </c>
      <c r="D362" s="10">
        <v>22</v>
      </c>
    </row>
    <row r="363" spans="1:4" ht="15.75" thickBot="1" x14ac:dyDescent="0.3">
      <c r="A363" s="10" t="s">
        <v>1762</v>
      </c>
      <c r="B363" s="10">
        <v>19</v>
      </c>
      <c r="C363" s="10" t="s">
        <v>766</v>
      </c>
      <c r="D363" s="10">
        <v>50</v>
      </c>
    </row>
    <row r="364" spans="1:4" ht="15.75" thickBot="1" x14ac:dyDescent="0.3">
      <c r="A364" s="10" t="s">
        <v>1762</v>
      </c>
      <c r="B364" s="10">
        <v>19</v>
      </c>
      <c r="C364" s="10" t="s">
        <v>1105</v>
      </c>
      <c r="D364" s="10">
        <v>75</v>
      </c>
    </row>
    <row r="365" spans="1:4" ht="15.75" thickBot="1" x14ac:dyDescent="0.3">
      <c r="A365" s="10" t="s">
        <v>1762</v>
      </c>
      <c r="B365" s="10">
        <v>19</v>
      </c>
      <c r="C365" s="10" t="s">
        <v>773</v>
      </c>
      <c r="D365" s="10">
        <v>100</v>
      </c>
    </row>
    <row r="366" spans="1:4" ht="15.75" thickBot="1" x14ac:dyDescent="0.3">
      <c r="A366" s="10" t="s">
        <v>1762</v>
      </c>
      <c r="B366" s="10">
        <v>19</v>
      </c>
      <c r="C366" s="10" t="s">
        <v>1106</v>
      </c>
      <c r="D366" s="10">
        <v>110</v>
      </c>
    </row>
    <row r="367" spans="1:4" ht="15.75" thickBot="1" x14ac:dyDescent="0.3">
      <c r="A367" s="10" t="s">
        <v>1762</v>
      </c>
      <c r="B367" s="10">
        <v>19</v>
      </c>
      <c r="C367" s="10" t="s">
        <v>1107</v>
      </c>
      <c r="D367" s="10">
        <v>130</v>
      </c>
    </row>
    <row r="368" spans="1:4" ht="15.75" thickBot="1" x14ac:dyDescent="0.3">
      <c r="A368" s="10" t="s">
        <v>1762</v>
      </c>
      <c r="B368" s="10">
        <v>19</v>
      </c>
      <c r="C368" s="10" t="s">
        <v>1108</v>
      </c>
      <c r="D368" s="10">
        <v>137</v>
      </c>
    </row>
    <row r="369" spans="1:4" ht="15.75" thickBot="1" x14ac:dyDescent="0.3">
      <c r="A369" s="10" t="s">
        <v>1762</v>
      </c>
      <c r="B369" s="10">
        <v>19</v>
      </c>
      <c r="C369" s="10" t="s">
        <v>1109</v>
      </c>
      <c r="D369" s="10">
        <v>142</v>
      </c>
    </row>
    <row r="370" spans="1:4" ht="15.75" thickBot="1" x14ac:dyDescent="0.3">
      <c r="A370" s="10" t="s">
        <v>1762</v>
      </c>
      <c r="B370" s="10">
        <v>19</v>
      </c>
      <c r="C370" s="10" t="s">
        <v>1110</v>
      </c>
      <c r="D370" s="10">
        <v>212</v>
      </c>
    </row>
    <row r="371" spans="1:4" ht="15.75" thickBot="1" x14ac:dyDescent="0.3">
      <c r="A371" s="10" t="s">
        <v>1762</v>
      </c>
      <c r="B371" s="10">
        <v>19</v>
      </c>
      <c r="C371" s="10" t="s">
        <v>1111</v>
      </c>
      <c r="D371" s="10">
        <v>256</v>
      </c>
    </row>
    <row r="372" spans="1:4" ht="15.75" thickBot="1" x14ac:dyDescent="0.3">
      <c r="A372" s="10" t="s">
        <v>1762</v>
      </c>
      <c r="B372" s="10">
        <v>19</v>
      </c>
      <c r="C372" s="10" t="s">
        <v>1089</v>
      </c>
      <c r="D372" s="10">
        <v>290</v>
      </c>
    </row>
    <row r="373" spans="1:4" ht="15.75" thickBot="1" x14ac:dyDescent="0.3">
      <c r="A373" s="10" t="s">
        <v>1762</v>
      </c>
      <c r="B373" s="10">
        <v>19</v>
      </c>
      <c r="C373" s="10" t="s">
        <v>1112</v>
      </c>
      <c r="D373" s="10">
        <v>318</v>
      </c>
    </row>
    <row r="374" spans="1:4" ht="15.75" thickBot="1" x14ac:dyDescent="0.3">
      <c r="A374" s="10" t="s">
        <v>1762</v>
      </c>
      <c r="B374" s="10">
        <v>19</v>
      </c>
      <c r="C374" s="10" t="s">
        <v>1113</v>
      </c>
      <c r="D374" s="10">
        <v>355</v>
      </c>
    </row>
    <row r="375" spans="1:4" ht="15.75" thickBot="1" x14ac:dyDescent="0.3">
      <c r="A375" s="10" t="s">
        <v>1762</v>
      </c>
      <c r="B375" s="10">
        <v>19</v>
      </c>
      <c r="C375" s="10" t="s">
        <v>1114</v>
      </c>
      <c r="D375" s="10">
        <v>364</v>
      </c>
    </row>
    <row r="376" spans="1:4" ht="15.75" thickBot="1" x14ac:dyDescent="0.3">
      <c r="A376" s="10" t="s">
        <v>1762</v>
      </c>
      <c r="B376" s="10">
        <v>19</v>
      </c>
      <c r="C376" s="10" t="s">
        <v>1115</v>
      </c>
      <c r="D376" s="10">
        <v>392</v>
      </c>
    </row>
    <row r="377" spans="1:4" ht="15.75" thickBot="1" x14ac:dyDescent="0.3">
      <c r="A377" s="10" t="s">
        <v>1762</v>
      </c>
      <c r="B377" s="10">
        <v>19</v>
      </c>
      <c r="C377" s="10" t="s">
        <v>1116</v>
      </c>
      <c r="D377" s="10">
        <v>397</v>
      </c>
    </row>
    <row r="378" spans="1:4" ht="15.75" thickBot="1" x14ac:dyDescent="0.3">
      <c r="A378" s="10" t="s">
        <v>1762</v>
      </c>
      <c r="B378" s="10">
        <v>19</v>
      </c>
      <c r="C378" s="10" t="s">
        <v>1117</v>
      </c>
      <c r="D378" s="10">
        <v>418</v>
      </c>
    </row>
    <row r="379" spans="1:4" ht="15.75" thickBot="1" x14ac:dyDescent="0.3">
      <c r="A379" s="10" t="s">
        <v>1762</v>
      </c>
      <c r="B379" s="10">
        <v>19</v>
      </c>
      <c r="C379" s="10" t="s">
        <v>1118</v>
      </c>
      <c r="D379" s="10">
        <v>450</v>
      </c>
    </row>
    <row r="380" spans="1:4" ht="15.75" thickBot="1" x14ac:dyDescent="0.3">
      <c r="A380" s="10" t="s">
        <v>1762</v>
      </c>
      <c r="B380" s="10">
        <v>19</v>
      </c>
      <c r="C380" s="10" t="s">
        <v>1119</v>
      </c>
      <c r="D380" s="10">
        <v>455</v>
      </c>
    </row>
    <row r="381" spans="1:4" ht="15.75" thickBot="1" x14ac:dyDescent="0.3">
      <c r="A381" s="10" t="s">
        <v>1762</v>
      </c>
      <c r="B381" s="10">
        <v>19</v>
      </c>
      <c r="C381" s="10" t="s">
        <v>919</v>
      </c>
      <c r="D381" s="10">
        <v>473</v>
      </c>
    </row>
    <row r="382" spans="1:4" ht="15.75" thickBot="1" x14ac:dyDescent="0.3">
      <c r="A382" s="10" t="s">
        <v>1762</v>
      </c>
      <c r="B382" s="10">
        <v>19</v>
      </c>
      <c r="C382" s="10" t="s">
        <v>1120</v>
      </c>
      <c r="D382" s="10">
        <v>513</v>
      </c>
    </row>
    <row r="383" spans="1:4" ht="15.75" thickBot="1" x14ac:dyDescent="0.3">
      <c r="A383" s="10" t="s">
        <v>1762</v>
      </c>
      <c r="B383" s="10">
        <v>19</v>
      </c>
      <c r="C383" s="10" t="s">
        <v>1121</v>
      </c>
      <c r="D383" s="10">
        <v>517</v>
      </c>
    </row>
    <row r="384" spans="1:4" ht="15.75" thickBot="1" x14ac:dyDescent="0.3">
      <c r="A384" s="10" t="s">
        <v>1762</v>
      </c>
      <c r="B384" s="10">
        <v>19</v>
      </c>
      <c r="C384" s="10" t="s">
        <v>1122</v>
      </c>
      <c r="D384" s="10">
        <v>532</v>
      </c>
    </row>
    <row r="385" spans="1:4" ht="15.75" thickBot="1" x14ac:dyDescent="0.3">
      <c r="A385" s="10" t="s">
        <v>1762</v>
      </c>
      <c r="B385" s="10">
        <v>19</v>
      </c>
      <c r="C385" s="10" t="s">
        <v>1123</v>
      </c>
      <c r="D385" s="10">
        <v>533</v>
      </c>
    </row>
    <row r="386" spans="1:4" ht="15.75" thickBot="1" x14ac:dyDescent="0.3">
      <c r="A386" s="10" t="s">
        <v>1762</v>
      </c>
      <c r="B386" s="10">
        <v>19</v>
      </c>
      <c r="C386" s="10" t="s">
        <v>1124</v>
      </c>
      <c r="D386" s="10">
        <v>548</v>
      </c>
    </row>
    <row r="387" spans="1:4" ht="15.75" thickBot="1" x14ac:dyDescent="0.3">
      <c r="A387" s="10" t="s">
        <v>1762</v>
      </c>
      <c r="B387" s="10">
        <v>19</v>
      </c>
      <c r="C387" s="10" t="s">
        <v>1125</v>
      </c>
      <c r="D387" s="10">
        <v>573</v>
      </c>
    </row>
    <row r="388" spans="1:4" ht="15.75" thickBot="1" x14ac:dyDescent="0.3">
      <c r="A388" s="10" t="s">
        <v>1762</v>
      </c>
      <c r="B388" s="10">
        <v>19</v>
      </c>
      <c r="C388" s="10" t="s">
        <v>1126</v>
      </c>
      <c r="D388" s="10">
        <v>585</v>
      </c>
    </row>
    <row r="389" spans="1:4" ht="15.75" thickBot="1" x14ac:dyDescent="0.3">
      <c r="A389" s="10" t="s">
        <v>1762</v>
      </c>
      <c r="B389" s="10">
        <v>19</v>
      </c>
      <c r="C389" s="10" t="s">
        <v>1127</v>
      </c>
      <c r="D389" s="10">
        <v>622</v>
      </c>
    </row>
    <row r="390" spans="1:4" ht="15.75" thickBot="1" x14ac:dyDescent="0.3">
      <c r="A390" s="10" t="s">
        <v>1762</v>
      </c>
      <c r="B390" s="10">
        <v>19</v>
      </c>
      <c r="C390" s="10" t="s">
        <v>1128</v>
      </c>
      <c r="D390" s="10">
        <v>693</v>
      </c>
    </row>
    <row r="391" spans="1:4" ht="15.75" thickBot="1" x14ac:dyDescent="0.3">
      <c r="A391" s="10" t="s">
        <v>1762</v>
      </c>
      <c r="B391" s="10">
        <v>19</v>
      </c>
      <c r="C391" s="10" t="s">
        <v>1129</v>
      </c>
      <c r="D391" s="10">
        <v>698</v>
      </c>
    </row>
    <row r="392" spans="1:4" ht="15.75" thickBot="1" x14ac:dyDescent="0.3">
      <c r="A392" s="10" t="s">
        <v>1762</v>
      </c>
      <c r="B392" s="10">
        <v>19</v>
      </c>
      <c r="C392" s="10" t="s">
        <v>932</v>
      </c>
      <c r="D392" s="10">
        <v>701</v>
      </c>
    </row>
    <row r="393" spans="1:4" ht="15.75" thickBot="1" x14ac:dyDescent="0.3">
      <c r="A393" s="10" t="s">
        <v>1762</v>
      </c>
      <c r="B393" s="10">
        <v>19</v>
      </c>
      <c r="C393" s="10" t="s">
        <v>1130</v>
      </c>
      <c r="D393" s="10">
        <v>743</v>
      </c>
    </row>
    <row r="394" spans="1:4" ht="15.75" thickBot="1" x14ac:dyDescent="0.3">
      <c r="A394" s="10" t="s">
        <v>1762</v>
      </c>
      <c r="B394" s="10">
        <v>19</v>
      </c>
      <c r="C394" s="10" t="s">
        <v>1131</v>
      </c>
      <c r="D394" s="10">
        <v>760</v>
      </c>
    </row>
    <row r="395" spans="1:4" ht="15.75" thickBot="1" x14ac:dyDescent="0.3">
      <c r="A395" s="10" t="s">
        <v>1762</v>
      </c>
      <c r="B395" s="10">
        <v>19</v>
      </c>
      <c r="C395" s="10" t="s">
        <v>1132</v>
      </c>
      <c r="D395" s="10">
        <v>780</v>
      </c>
    </row>
    <row r="396" spans="1:4" ht="15.75" thickBot="1" x14ac:dyDescent="0.3">
      <c r="A396" s="10" t="s">
        <v>1762</v>
      </c>
      <c r="B396" s="10">
        <v>19</v>
      </c>
      <c r="C396" s="10" t="s">
        <v>1133</v>
      </c>
      <c r="D396" s="10">
        <v>807</v>
      </c>
    </row>
    <row r="397" spans="1:4" ht="15.75" thickBot="1" x14ac:dyDescent="0.3">
      <c r="A397" s="10" t="s">
        <v>1762</v>
      </c>
      <c r="B397" s="10">
        <v>19</v>
      </c>
      <c r="C397" s="10" t="s">
        <v>1134</v>
      </c>
      <c r="D397" s="10">
        <v>809</v>
      </c>
    </row>
    <row r="398" spans="1:4" ht="15.75" thickBot="1" x14ac:dyDescent="0.3">
      <c r="A398" s="10" t="s">
        <v>1762</v>
      </c>
      <c r="B398" s="10">
        <v>19</v>
      </c>
      <c r="C398" s="10" t="s">
        <v>1135</v>
      </c>
      <c r="D398" s="10">
        <v>821</v>
      </c>
    </row>
    <row r="399" spans="1:4" ht="15.75" thickBot="1" x14ac:dyDescent="0.3">
      <c r="A399" s="10" t="s">
        <v>1762</v>
      </c>
      <c r="B399" s="10">
        <v>19</v>
      </c>
      <c r="C399" s="10" t="s">
        <v>1136</v>
      </c>
      <c r="D399" s="10">
        <v>824</v>
      </c>
    </row>
    <row r="400" spans="1:4" ht="15.75" thickBot="1" x14ac:dyDescent="0.3">
      <c r="A400" s="10" t="s">
        <v>1762</v>
      </c>
      <c r="B400" s="10">
        <v>19</v>
      </c>
      <c r="C400" s="10" t="s">
        <v>1137</v>
      </c>
      <c r="D400" s="10">
        <v>845</v>
      </c>
    </row>
    <row r="401" spans="1:4" ht="15.75" thickBot="1" x14ac:dyDescent="0.3">
      <c r="A401" s="10" t="s">
        <v>1763</v>
      </c>
      <c r="B401" s="10">
        <v>20</v>
      </c>
      <c r="C401" s="10" t="s">
        <v>1138</v>
      </c>
      <c r="D401" s="10">
        <v>1</v>
      </c>
    </row>
    <row r="402" spans="1:4" ht="15.75" thickBot="1" x14ac:dyDescent="0.3">
      <c r="A402" s="10" t="s">
        <v>1763</v>
      </c>
      <c r="B402" s="10">
        <v>20</v>
      </c>
      <c r="C402" s="10" t="s">
        <v>81</v>
      </c>
      <c r="D402" s="10">
        <v>11</v>
      </c>
    </row>
    <row r="403" spans="1:4" ht="15.75" thickBot="1" x14ac:dyDescent="0.3">
      <c r="A403" s="10" t="s">
        <v>1763</v>
      </c>
      <c r="B403" s="10">
        <v>20</v>
      </c>
      <c r="C403" s="10" t="s">
        <v>1139</v>
      </c>
      <c r="D403" s="10">
        <v>13</v>
      </c>
    </row>
    <row r="404" spans="1:4" ht="15.75" thickBot="1" x14ac:dyDescent="0.3">
      <c r="A404" s="10" t="s">
        <v>1763</v>
      </c>
      <c r="B404" s="10">
        <v>20</v>
      </c>
      <c r="C404" s="10" t="s">
        <v>86</v>
      </c>
      <c r="D404" s="10">
        <v>32</v>
      </c>
    </row>
    <row r="405" spans="1:4" ht="15.75" thickBot="1" x14ac:dyDescent="0.3">
      <c r="A405" s="10" t="s">
        <v>1763</v>
      </c>
      <c r="B405" s="10">
        <v>20</v>
      </c>
      <c r="C405" s="10" t="s">
        <v>1140</v>
      </c>
      <c r="D405" s="10">
        <v>45</v>
      </c>
    </row>
    <row r="406" spans="1:4" ht="15.75" thickBot="1" x14ac:dyDescent="0.3">
      <c r="A406" s="10" t="s">
        <v>1763</v>
      </c>
      <c r="B406" s="10">
        <v>20</v>
      </c>
      <c r="C406" s="10" t="s">
        <v>87</v>
      </c>
      <c r="D406" s="10">
        <v>60</v>
      </c>
    </row>
    <row r="407" spans="1:4" ht="15.75" thickBot="1" x14ac:dyDescent="0.3">
      <c r="A407" s="10" t="s">
        <v>1763</v>
      </c>
      <c r="B407" s="10">
        <v>20</v>
      </c>
      <c r="C407" s="10" t="s">
        <v>88</v>
      </c>
      <c r="D407" s="10">
        <v>175</v>
      </c>
    </row>
    <row r="408" spans="1:4" ht="15.75" thickBot="1" x14ac:dyDescent="0.3">
      <c r="A408" s="10" t="s">
        <v>1763</v>
      </c>
      <c r="B408" s="10">
        <v>20</v>
      </c>
      <c r="C408" s="10" t="s">
        <v>1141</v>
      </c>
      <c r="D408" s="10">
        <v>178</v>
      </c>
    </row>
    <row r="409" spans="1:4" ht="15.75" thickBot="1" x14ac:dyDescent="0.3">
      <c r="A409" s="10" t="s">
        <v>1763</v>
      </c>
      <c r="B409" s="10">
        <v>20</v>
      </c>
      <c r="C409" s="10" t="s">
        <v>1142</v>
      </c>
      <c r="D409" s="10">
        <v>228</v>
      </c>
    </row>
    <row r="410" spans="1:4" ht="15.75" thickBot="1" x14ac:dyDescent="0.3">
      <c r="A410" s="10" t="s">
        <v>1763</v>
      </c>
      <c r="B410" s="10">
        <v>20</v>
      </c>
      <c r="C410" s="10" t="s">
        <v>91</v>
      </c>
      <c r="D410" s="10">
        <v>238</v>
      </c>
    </row>
    <row r="411" spans="1:4" ht="15.75" thickBot="1" x14ac:dyDescent="0.3">
      <c r="A411" s="10" t="s">
        <v>1763</v>
      </c>
      <c r="B411" s="10">
        <v>20</v>
      </c>
      <c r="C411" s="10" t="s">
        <v>1143</v>
      </c>
      <c r="D411" s="10">
        <v>250</v>
      </c>
    </row>
    <row r="412" spans="1:4" ht="15.75" thickBot="1" x14ac:dyDescent="0.3">
      <c r="A412" s="10" t="s">
        <v>1763</v>
      </c>
      <c r="B412" s="10">
        <v>20</v>
      </c>
      <c r="C412" s="10" t="s">
        <v>1144</v>
      </c>
      <c r="D412" s="10">
        <v>295</v>
      </c>
    </row>
    <row r="413" spans="1:4" ht="15.75" thickBot="1" x14ac:dyDescent="0.3">
      <c r="A413" s="10" t="s">
        <v>1763</v>
      </c>
      <c r="B413" s="10">
        <v>20</v>
      </c>
      <c r="C413" s="10" t="s">
        <v>1145</v>
      </c>
      <c r="D413" s="10">
        <v>310</v>
      </c>
    </row>
    <row r="414" spans="1:4" ht="15.75" thickBot="1" x14ac:dyDescent="0.3">
      <c r="A414" s="10" t="s">
        <v>1763</v>
      </c>
      <c r="B414" s="10">
        <v>20</v>
      </c>
      <c r="C414" s="10" t="s">
        <v>92</v>
      </c>
      <c r="D414" s="10">
        <v>383</v>
      </c>
    </row>
    <row r="415" spans="1:4" ht="15.75" thickBot="1" x14ac:dyDescent="0.3">
      <c r="A415" s="10" t="s">
        <v>1763</v>
      </c>
      <c r="B415" s="10">
        <v>20</v>
      </c>
      <c r="C415" s="10" t="s">
        <v>1146</v>
      </c>
      <c r="D415" s="10">
        <v>400</v>
      </c>
    </row>
    <row r="416" spans="1:4" ht="15.75" thickBot="1" x14ac:dyDescent="0.3">
      <c r="A416" s="10" t="s">
        <v>1763</v>
      </c>
      <c r="B416" s="10">
        <v>20</v>
      </c>
      <c r="C416" s="10" t="s">
        <v>1147</v>
      </c>
      <c r="D416" s="10">
        <v>443</v>
      </c>
    </row>
    <row r="417" spans="1:4" ht="15.75" thickBot="1" x14ac:dyDescent="0.3">
      <c r="A417" s="10" t="s">
        <v>1763</v>
      </c>
      <c r="B417" s="10">
        <v>20</v>
      </c>
      <c r="C417" s="10" t="s">
        <v>94</v>
      </c>
      <c r="D417" s="10">
        <v>517</v>
      </c>
    </row>
    <row r="418" spans="1:4" ht="15.75" thickBot="1" x14ac:dyDescent="0.3">
      <c r="A418" s="10" t="s">
        <v>1763</v>
      </c>
      <c r="B418" s="10">
        <v>20</v>
      </c>
      <c r="C418" s="10" t="s">
        <v>95</v>
      </c>
      <c r="D418" s="10">
        <v>550</v>
      </c>
    </row>
    <row r="419" spans="1:4" ht="15.75" thickBot="1" x14ac:dyDescent="0.3">
      <c r="A419" s="10" t="s">
        <v>1763</v>
      </c>
      <c r="B419" s="10">
        <v>20</v>
      </c>
      <c r="C419" s="10" t="s">
        <v>96</v>
      </c>
      <c r="D419" s="10">
        <v>570</v>
      </c>
    </row>
    <row r="420" spans="1:4" ht="15.75" thickBot="1" x14ac:dyDescent="0.3">
      <c r="A420" s="10" t="s">
        <v>1763</v>
      </c>
      <c r="B420" s="10">
        <v>20</v>
      </c>
      <c r="C420" s="10" t="s">
        <v>1148</v>
      </c>
      <c r="D420" s="10">
        <v>614</v>
      </c>
    </row>
    <row r="421" spans="1:4" ht="15.75" thickBot="1" x14ac:dyDescent="0.3">
      <c r="A421" s="10" t="s">
        <v>1763</v>
      </c>
      <c r="B421" s="10">
        <v>20</v>
      </c>
      <c r="C421" s="10" t="s">
        <v>1149</v>
      </c>
      <c r="D421" s="10">
        <v>621</v>
      </c>
    </row>
    <row r="422" spans="1:4" ht="15.75" thickBot="1" x14ac:dyDescent="0.3">
      <c r="A422" s="10" t="s">
        <v>1763</v>
      </c>
      <c r="B422" s="10">
        <v>20</v>
      </c>
      <c r="C422" s="10" t="s">
        <v>98</v>
      </c>
      <c r="D422" s="10">
        <v>710</v>
      </c>
    </row>
    <row r="423" spans="1:4" ht="15.75" thickBot="1" x14ac:dyDescent="0.3">
      <c r="A423" s="10" t="s">
        <v>1763</v>
      </c>
      <c r="B423" s="10">
        <v>20</v>
      </c>
      <c r="C423" s="10" t="s">
        <v>1150</v>
      </c>
      <c r="D423" s="10">
        <v>750</v>
      </c>
    </row>
    <row r="424" spans="1:4" ht="15.75" thickBot="1" x14ac:dyDescent="0.3">
      <c r="A424" s="10" t="s">
        <v>1763</v>
      </c>
      <c r="B424" s="10">
        <v>20</v>
      </c>
      <c r="C424" s="10" t="s">
        <v>1151</v>
      </c>
      <c r="D424" s="10">
        <v>770</v>
      </c>
    </row>
    <row r="425" spans="1:4" ht="15.75" thickBot="1" x14ac:dyDescent="0.3">
      <c r="A425" s="10" t="s">
        <v>1763</v>
      </c>
      <c r="B425" s="10">
        <v>20</v>
      </c>
      <c r="C425" s="10" t="s">
        <v>1152</v>
      </c>
      <c r="D425" s="10">
        <v>787</v>
      </c>
    </row>
    <row r="426" spans="1:4" ht="15.75" thickBot="1" x14ac:dyDescent="0.3">
      <c r="A426" s="10" t="s">
        <v>907</v>
      </c>
      <c r="B426" s="10">
        <v>23</v>
      </c>
      <c r="C426" s="10" t="s">
        <v>1153</v>
      </c>
      <c r="D426" s="10">
        <v>1</v>
      </c>
    </row>
    <row r="427" spans="1:4" ht="15.75" thickBot="1" x14ac:dyDescent="0.3">
      <c r="A427" s="10" t="s">
        <v>907</v>
      </c>
      <c r="B427" s="10">
        <v>23</v>
      </c>
      <c r="C427" s="10" t="s">
        <v>1154</v>
      </c>
      <c r="D427" s="10">
        <v>68</v>
      </c>
    </row>
    <row r="428" spans="1:4" ht="15.75" thickBot="1" x14ac:dyDescent="0.3">
      <c r="A428" s="10" t="s">
        <v>907</v>
      </c>
      <c r="B428" s="10">
        <v>23</v>
      </c>
      <c r="C428" s="10" t="s">
        <v>951</v>
      </c>
      <c r="D428" s="10">
        <v>79</v>
      </c>
    </row>
    <row r="429" spans="1:4" ht="15.75" thickBot="1" x14ac:dyDescent="0.3">
      <c r="A429" s="10" t="s">
        <v>907</v>
      </c>
      <c r="B429" s="10">
        <v>23</v>
      </c>
      <c r="C429" s="10" t="s">
        <v>1155</v>
      </c>
      <c r="D429" s="10">
        <v>90</v>
      </c>
    </row>
    <row r="430" spans="1:4" ht="15.75" thickBot="1" x14ac:dyDescent="0.3">
      <c r="A430" s="10" t="s">
        <v>907</v>
      </c>
      <c r="B430" s="10">
        <v>23</v>
      </c>
      <c r="C430" s="10" t="s">
        <v>1156</v>
      </c>
      <c r="D430" s="10">
        <v>162</v>
      </c>
    </row>
    <row r="431" spans="1:4" ht="15.75" thickBot="1" x14ac:dyDescent="0.3">
      <c r="A431" s="10" t="s">
        <v>907</v>
      </c>
      <c r="B431" s="10">
        <v>23</v>
      </c>
      <c r="C431" s="10" t="s">
        <v>1157</v>
      </c>
      <c r="D431" s="10">
        <v>168</v>
      </c>
    </row>
    <row r="432" spans="1:4" ht="15.75" thickBot="1" x14ac:dyDescent="0.3">
      <c r="A432" s="10" t="s">
        <v>907</v>
      </c>
      <c r="B432" s="10">
        <v>23</v>
      </c>
      <c r="C432" s="10" t="s">
        <v>1158</v>
      </c>
      <c r="D432" s="10">
        <v>182</v>
      </c>
    </row>
    <row r="433" spans="1:4" ht="15.75" thickBot="1" x14ac:dyDescent="0.3">
      <c r="A433" s="10" t="s">
        <v>907</v>
      </c>
      <c r="B433" s="10">
        <v>23</v>
      </c>
      <c r="C433" s="10" t="s">
        <v>1159</v>
      </c>
      <c r="D433" s="10">
        <v>189</v>
      </c>
    </row>
    <row r="434" spans="1:4" ht="15.75" thickBot="1" x14ac:dyDescent="0.3">
      <c r="A434" s="10" t="s">
        <v>907</v>
      </c>
      <c r="B434" s="10">
        <v>23</v>
      </c>
      <c r="C434" s="10" t="s">
        <v>1160</v>
      </c>
      <c r="D434" s="10">
        <v>300</v>
      </c>
    </row>
    <row r="435" spans="1:4" ht="15.75" thickBot="1" x14ac:dyDescent="0.3">
      <c r="A435" s="10" t="s">
        <v>907</v>
      </c>
      <c r="B435" s="10">
        <v>23</v>
      </c>
      <c r="C435" s="10" t="s">
        <v>1161</v>
      </c>
      <c r="D435" s="10">
        <v>350</v>
      </c>
    </row>
    <row r="436" spans="1:4" ht="15.75" thickBot="1" x14ac:dyDescent="0.3">
      <c r="A436" s="10" t="s">
        <v>907</v>
      </c>
      <c r="B436" s="10">
        <v>23</v>
      </c>
      <c r="C436" s="10" t="s">
        <v>1162</v>
      </c>
      <c r="D436" s="10">
        <v>417</v>
      </c>
    </row>
    <row r="437" spans="1:4" ht="15.75" thickBot="1" x14ac:dyDescent="0.3">
      <c r="A437" s="10" t="s">
        <v>907</v>
      </c>
      <c r="B437" s="10">
        <v>23</v>
      </c>
      <c r="C437" s="10" t="s">
        <v>1163</v>
      </c>
      <c r="D437" s="10">
        <v>419</v>
      </c>
    </row>
    <row r="438" spans="1:4" ht="15.75" thickBot="1" x14ac:dyDescent="0.3">
      <c r="A438" s="10" t="s">
        <v>907</v>
      </c>
      <c r="B438" s="10">
        <v>23</v>
      </c>
      <c r="C438" s="10" t="s">
        <v>1164</v>
      </c>
      <c r="D438" s="10">
        <v>464</v>
      </c>
    </row>
    <row r="439" spans="1:4" ht="15.75" thickBot="1" x14ac:dyDescent="0.3">
      <c r="A439" s="10" t="s">
        <v>907</v>
      </c>
      <c r="B439" s="10">
        <v>23</v>
      </c>
      <c r="C439" s="10" t="s">
        <v>1165</v>
      </c>
      <c r="D439" s="10">
        <v>466</v>
      </c>
    </row>
    <row r="440" spans="1:4" ht="15.75" thickBot="1" x14ac:dyDescent="0.3">
      <c r="A440" s="10" t="s">
        <v>907</v>
      </c>
      <c r="B440" s="10">
        <v>23</v>
      </c>
      <c r="C440" s="10" t="s">
        <v>1166</v>
      </c>
      <c r="D440" s="10">
        <v>500</v>
      </c>
    </row>
    <row r="441" spans="1:4" ht="15.75" thickBot="1" x14ac:dyDescent="0.3">
      <c r="A441" s="10" t="s">
        <v>907</v>
      </c>
      <c r="B441" s="10">
        <v>23</v>
      </c>
      <c r="C441" s="10" t="s">
        <v>1167</v>
      </c>
      <c r="D441" s="10">
        <v>555</v>
      </c>
    </row>
    <row r="442" spans="1:4" ht="15.75" thickBot="1" x14ac:dyDescent="0.3">
      <c r="A442" s="10" t="s">
        <v>907</v>
      </c>
      <c r="B442" s="10">
        <v>23</v>
      </c>
      <c r="C442" s="10" t="s">
        <v>1168</v>
      </c>
      <c r="D442" s="10">
        <v>570</v>
      </c>
    </row>
    <row r="443" spans="1:4" ht="15.75" thickBot="1" x14ac:dyDescent="0.3">
      <c r="A443" s="10" t="s">
        <v>907</v>
      </c>
      <c r="B443" s="10">
        <v>23</v>
      </c>
      <c r="C443" s="10" t="s">
        <v>1169</v>
      </c>
      <c r="D443" s="10">
        <v>574</v>
      </c>
    </row>
    <row r="444" spans="1:4" ht="15.75" thickBot="1" x14ac:dyDescent="0.3">
      <c r="A444" s="10" t="s">
        <v>907</v>
      </c>
      <c r="B444" s="10">
        <v>23</v>
      </c>
      <c r="C444" s="10" t="s">
        <v>1170</v>
      </c>
      <c r="D444" s="10">
        <v>580</v>
      </c>
    </row>
    <row r="445" spans="1:4" ht="15.75" thickBot="1" x14ac:dyDescent="0.3">
      <c r="A445" s="10" t="s">
        <v>907</v>
      </c>
      <c r="B445" s="10">
        <v>23</v>
      </c>
      <c r="C445" s="10" t="s">
        <v>1171</v>
      </c>
      <c r="D445" s="10">
        <v>586</v>
      </c>
    </row>
    <row r="446" spans="1:4" ht="15.75" thickBot="1" x14ac:dyDescent="0.3">
      <c r="A446" s="10" t="s">
        <v>907</v>
      </c>
      <c r="B446" s="10">
        <v>23</v>
      </c>
      <c r="C446" s="10" t="s">
        <v>1172</v>
      </c>
      <c r="D446" s="10">
        <v>660</v>
      </c>
    </row>
    <row r="447" spans="1:4" ht="15.75" thickBot="1" x14ac:dyDescent="0.3">
      <c r="A447" s="10" t="s">
        <v>907</v>
      </c>
      <c r="B447" s="10">
        <v>23</v>
      </c>
      <c r="C447" s="10" t="s">
        <v>1173</v>
      </c>
      <c r="D447" s="10">
        <v>670</v>
      </c>
    </row>
    <row r="448" spans="1:4" ht="15.75" thickBot="1" x14ac:dyDescent="0.3">
      <c r="A448" s="10" t="s">
        <v>907</v>
      </c>
      <c r="B448" s="10">
        <v>23</v>
      </c>
      <c r="C448" s="10" t="s">
        <v>1174</v>
      </c>
      <c r="D448" s="10">
        <v>672</v>
      </c>
    </row>
    <row r="449" spans="1:4" ht="15.75" thickBot="1" x14ac:dyDescent="0.3">
      <c r="A449" s="10" t="s">
        <v>907</v>
      </c>
      <c r="B449" s="10">
        <v>23</v>
      </c>
      <c r="C449" s="10" t="s">
        <v>1175</v>
      </c>
      <c r="D449" s="10">
        <v>675</v>
      </c>
    </row>
    <row r="450" spans="1:4" ht="15.75" thickBot="1" x14ac:dyDescent="0.3">
      <c r="A450" s="10" t="s">
        <v>907</v>
      </c>
      <c r="B450" s="10">
        <v>23</v>
      </c>
      <c r="C450" s="10" t="s">
        <v>841</v>
      </c>
      <c r="D450" s="10">
        <v>678</v>
      </c>
    </row>
    <row r="451" spans="1:4" ht="15.75" thickBot="1" x14ac:dyDescent="0.3">
      <c r="A451" s="10" t="s">
        <v>907</v>
      </c>
      <c r="B451" s="10">
        <v>23</v>
      </c>
      <c r="C451" s="10" t="s">
        <v>1176</v>
      </c>
      <c r="D451" s="10">
        <v>686</v>
      </c>
    </row>
    <row r="452" spans="1:4" ht="15.75" thickBot="1" x14ac:dyDescent="0.3">
      <c r="A452" s="10" t="s">
        <v>907</v>
      </c>
      <c r="B452" s="10">
        <v>23</v>
      </c>
      <c r="C452" s="10" t="s">
        <v>1177</v>
      </c>
      <c r="D452" s="10">
        <v>807</v>
      </c>
    </row>
    <row r="453" spans="1:4" ht="15.75" thickBot="1" x14ac:dyDescent="0.3">
      <c r="A453" s="10" t="s">
        <v>907</v>
      </c>
      <c r="B453" s="10">
        <v>23</v>
      </c>
      <c r="C453" s="10" t="s">
        <v>1178</v>
      </c>
      <c r="D453" s="10">
        <v>855</v>
      </c>
    </row>
    <row r="454" spans="1:4" ht="15.75" thickBot="1" x14ac:dyDescent="0.3">
      <c r="A454" s="10" t="s">
        <v>1764</v>
      </c>
      <c r="B454" s="10">
        <v>25</v>
      </c>
      <c r="C454" s="10" t="s">
        <v>1789</v>
      </c>
      <c r="D454" s="10">
        <v>1</v>
      </c>
    </row>
    <row r="455" spans="1:4" ht="15.75" thickBot="1" x14ac:dyDescent="0.3">
      <c r="A455" s="10" t="s">
        <v>1764</v>
      </c>
      <c r="B455" s="10">
        <v>25</v>
      </c>
      <c r="C455" s="10" t="s">
        <v>1179</v>
      </c>
      <c r="D455" s="10">
        <v>1</v>
      </c>
    </row>
    <row r="456" spans="1:4" ht="15.75" thickBot="1" x14ac:dyDescent="0.3">
      <c r="A456" s="10" t="s">
        <v>1764</v>
      </c>
      <c r="B456" s="10">
        <v>25</v>
      </c>
      <c r="C456" s="10" t="s">
        <v>1180</v>
      </c>
      <c r="D456" s="10">
        <v>19</v>
      </c>
    </row>
    <row r="457" spans="1:4" ht="15.75" thickBot="1" x14ac:dyDescent="0.3">
      <c r="A457" s="10" t="s">
        <v>1764</v>
      </c>
      <c r="B457" s="10">
        <v>25</v>
      </c>
      <c r="C457" s="10" t="s">
        <v>1181</v>
      </c>
      <c r="D457" s="10">
        <v>35</v>
      </c>
    </row>
    <row r="458" spans="1:4" ht="15.75" thickBot="1" x14ac:dyDescent="0.3">
      <c r="A458" s="10" t="s">
        <v>1764</v>
      </c>
      <c r="B458" s="10">
        <v>25</v>
      </c>
      <c r="C458" s="10" t="s">
        <v>1182</v>
      </c>
      <c r="D458" s="10">
        <v>40</v>
      </c>
    </row>
    <row r="459" spans="1:4" ht="15.75" thickBot="1" x14ac:dyDescent="0.3">
      <c r="A459" s="10" t="s">
        <v>1764</v>
      </c>
      <c r="B459" s="10">
        <v>25</v>
      </c>
      <c r="C459" s="10" t="s">
        <v>1183</v>
      </c>
      <c r="D459" s="10">
        <v>53</v>
      </c>
    </row>
    <row r="460" spans="1:4" ht="15.75" thickBot="1" x14ac:dyDescent="0.3">
      <c r="A460" s="10" t="s">
        <v>1764</v>
      </c>
      <c r="B460" s="10">
        <v>25</v>
      </c>
      <c r="C460" s="10" t="s">
        <v>1184</v>
      </c>
      <c r="D460" s="10">
        <v>86</v>
      </c>
    </row>
    <row r="461" spans="1:4" ht="15.75" thickBot="1" x14ac:dyDescent="0.3">
      <c r="A461" s="10" t="s">
        <v>1764</v>
      </c>
      <c r="B461" s="10">
        <v>25</v>
      </c>
      <c r="C461" s="10" t="s">
        <v>1185</v>
      </c>
      <c r="D461" s="10">
        <v>95</v>
      </c>
    </row>
    <row r="462" spans="1:4" ht="15.75" thickBot="1" x14ac:dyDescent="0.3">
      <c r="A462" s="10" t="s">
        <v>1764</v>
      </c>
      <c r="B462" s="10">
        <v>25</v>
      </c>
      <c r="C462" s="10" t="s">
        <v>1186</v>
      </c>
      <c r="D462" s="10">
        <v>99</v>
      </c>
    </row>
    <row r="463" spans="1:4" ht="15.75" thickBot="1" x14ac:dyDescent="0.3">
      <c r="A463" s="10" t="s">
        <v>1764</v>
      </c>
      <c r="B463" s="10">
        <v>25</v>
      </c>
      <c r="C463" s="10" t="s">
        <v>1187</v>
      </c>
      <c r="D463" s="10">
        <v>120</v>
      </c>
    </row>
    <row r="464" spans="1:4" ht="15.75" thickBot="1" x14ac:dyDescent="0.3">
      <c r="A464" s="10" t="s">
        <v>1764</v>
      </c>
      <c r="B464" s="10">
        <v>25</v>
      </c>
      <c r="C464" s="10" t="s">
        <v>1188</v>
      </c>
      <c r="D464" s="10">
        <v>123</v>
      </c>
    </row>
    <row r="465" spans="1:4" ht="15.75" thickBot="1" x14ac:dyDescent="0.3">
      <c r="A465" s="10" t="s">
        <v>1764</v>
      </c>
      <c r="B465" s="10">
        <v>25</v>
      </c>
      <c r="C465" s="10" t="s">
        <v>1189</v>
      </c>
      <c r="D465" s="10">
        <v>126</v>
      </c>
    </row>
    <row r="466" spans="1:4" ht="15.75" thickBot="1" x14ac:dyDescent="0.3">
      <c r="A466" s="10" t="s">
        <v>1764</v>
      </c>
      <c r="B466" s="10">
        <v>25</v>
      </c>
      <c r="C466" s="10" t="s">
        <v>1190</v>
      </c>
      <c r="D466" s="10">
        <v>148</v>
      </c>
    </row>
    <row r="467" spans="1:4" ht="15.75" thickBot="1" x14ac:dyDescent="0.3">
      <c r="A467" s="10" t="s">
        <v>1764</v>
      </c>
      <c r="B467" s="10">
        <v>25</v>
      </c>
      <c r="C467" s="10" t="s">
        <v>1191</v>
      </c>
      <c r="D467" s="10">
        <v>151</v>
      </c>
    </row>
    <row r="468" spans="1:4" ht="15.75" thickBot="1" x14ac:dyDescent="0.3">
      <c r="A468" s="10" t="s">
        <v>1764</v>
      </c>
      <c r="B468" s="10">
        <v>25</v>
      </c>
      <c r="C468" s="10" t="s">
        <v>1192</v>
      </c>
      <c r="D468" s="10">
        <v>154</v>
      </c>
    </row>
    <row r="469" spans="1:4" ht="15.75" thickBot="1" x14ac:dyDescent="0.3">
      <c r="A469" s="10" t="s">
        <v>1764</v>
      </c>
      <c r="B469" s="10">
        <v>25</v>
      </c>
      <c r="C469" s="10" t="s">
        <v>1193</v>
      </c>
      <c r="D469" s="10">
        <v>168</v>
      </c>
    </row>
    <row r="470" spans="1:4" ht="15.75" thickBot="1" x14ac:dyDescent="0.3">
      <c r="A470" s="10" t="s">
        <v>1764</v>
      </c>
      <c r="B470" s="10">
        <v>25</v>
      </c>
      <c r="C470" s="10" t="s">
        <v>1194</v>
      </c>
      <c r="D470" s="10">
        <v>175</v>
      </c>
    </row>
    <row r="471" spans="1:4" ht="15.75" thickBot="1" x14ac:dyDescent="0.3">
      <c r="A471" s="10" t="s">
        <v>1764</v>
      </c>
      <c r="B471" s="10">
        <v>25</v>
      </c>
      <c r="C471" s="10" t="s">
        <v>1195</v>
      </c>
      <c r="D471" s="10">
        <v>178</v>
      </c>
    </row>
    <row r="472" spans="1:4" ht="15.75" thickBot="1" x14ac:dyDescent="0.3">
      <c r="A472" s="10" t="s">
        <v>1764</v>
      </c>
      <c r="B472" s="10">
        <v>25</v>
      </c>
      <c r="C472" s="10" t="s">
        <v>1196</v>
      </c>
      <c r="D472" s="10">
        <v>181</v>
      </c>
    </row>
    <row r="473" spans="1:4" ht="15.75" thickBot="1" x14ac:dyDescent="0.3">
      <c r="A473" s="10" t="s">
        <v>1764</v>
      </c>
      <c r="B473" s="10">
        <v>25</v>
      </c>
      <c r="C473" s="10" t="s">
        <v>1197</v>
      </c>
      <c r="D473" s="10">
        <v>183</v>
      </c>
    </row>
    <row r="474" spans="1:4" ht="15.75" thickBot="1" x14ac:dyDescent="0.3">
      <c r="A474" s="10" t="s">
        <v>1764</v>
      </c>
      <c r="B474" s="10">
        <v>25</v>
      </c>
      <c r="C474" s="10" t="s">
        <v>1198</v>
      </c>
      <c r="D474" s="10">
        <v>200</v>
      </c>
    </row>
    <row r="475" spans="1:4" ht="15.75" thickBot="1" x14ac:dyDescent="0.3">
      <c r="A475" s="10" t="s">
        <v>1764</v>
      </c>
      <c r="B475" s="10">
        <v>25</v>
      </c>
      <c r="C475" s="10" t="s">
        <v>1199</v>
      </c>
      <c r="D475" s="10">
        <v>214</v>
      </c>
    </row>
    <row r="476" spans="1:4" ht="15.75" thickBot="1" x14ac:dyDescent="0.3">
      <c r="A476" s="10" t="s">
        <v>1764</v>
      </c>
      <c r="B476" s="10">
        <v>25</v>
      </c>
      <c r="C476" s="10" t="s">
        <v>1200</v>
      </c>
      <c r="D476" s="10">
        <v>224</v>
      </c>
    </row>
    <row r="477" spans="1:4" ht="15.75" thickBot="1" x14ac:dyDescent="0.3">
      <c r="A477" s="10" t="s">
        <v>1764</v>
      </c>
      <c r="B477" s="10">
        <v>25</v>
      </c>
      <c r="C477" s="10" t="s">
        <v>1201</v>
      </c>
      <c r="D477" s="10">
        <v>245</v>
      </c>
    </row>
    <row r="478" spans="1:4" ht="15.75" thickBot="1" x14ac:dyDescent="0.3">
      <c r="A478" s="10" t="s">
        <v>1764</v>
      </c>
      <c r="B478" s="10">
        <v>25</v>
      </c>
      <c r="C478" s="10" t="s">
        <v>911</v>
      </c>
      <c r="D478" s="10">
        <v>258</v>
      </c>
    </row>
    <row r="479" spans="1:4" ht="15.75" thickBot="1" x14ac:dyDescent="0.3">
      <c r="A479" s="10" t="s">
        <v>1764</v>
      </c>
      <c r="B479" s="10">
        <v>25</v>
      </c>
      <c r="C479" s="10" t="s">
        <v>1202</v>
      </c>
      <c r="D479" s="10">
        <v>260</v>
      </c>
    </row>
    <row r="480" spans="1:4" ht="15.75" thickBot="1" x14ac:dyDescent="0.3">
      <c r="A480" s="10" t="s">
        <v>1764</v>
      </c>
      <c r="B480" s="10">
        <v>25</v>
      </c>
      <c r="C480" s="10" t="s">
        <v>1203</v>
      </c>
      <c r="D480" s="10">
        <v>269</v>
      </c>
    </row>
    <row r="481" spans="1:4" ht="15.75" thickBot="1" x14ac:dyDescent="0.3">
      <c r="A481" s="10" t="s">
        <v>1764</v>
      </c>
      <c r="B481" s="10">
        <v>25</v>
      </c>
      <c r="C481" s="10" t="s">
        <v>1204</v>
      </c>
      <c r="D481" s="10">
        <v>279</v>
      </c>
    </row>
    <row r="482" spans="1:4" ht="15.75" thickBot="1" x14ac:dyDescent="0.3">
      <c r="A482" s="10" t="s">
        <v>1764</v>
      </c>
      <c r="B482" s="10">
        <v>25</v>
      </c>
      <c r="C482" s="10" t="s">
        <v>1205</v>
      </c>
      <c r="D482" s="10">
        <v>281</v>
      </c>
    </row>
    <row r="483" spans="1:4" ht="15.75" thickBot="1" x14ac:dyDescent="0.3">
      <c r="A483" s="10" t="s">
        <v>1764</v>
      </c>
      <c r="B483" s="10">
        <v>25</v>
      </c>
      <c r="C483" s="10" t="s">
        <v>1206</v>
      </c>
      <c r="D483" s="10">
        <v>286</v>
      </c>
    </row>
    <row r="484" spans="1:4" ht="15.75" thickBot="1" x14ac:dyDescent="0.3">
      <c r="A484" s="10" t="s">
        <v>1764</v>
      </c>
      <c r="B484" s="10">
        <v>25</v>
      </c>
      <c r="C484" s="10" t="s">
        <v>1207</v>
      </c>
      <c r="D484" s="10">
        <v>288</v>
      </c>
    </row>
    <row r="485" spans="1:4" ht="15.75" thickBot="1" x14ac:dyDescent="0.3">
      <c r="A485" s="10" t="s">
        <v>1764</v>
      </c>
      <c r="B485" s="10">
        <v>25</v>
      </c>
      <c r="C485" s="10" t="s">
        <v>1208</v>
      </c>
      <c r="D485" s="10">
        <v>290</v>
      </c>
    </row>
    <row r="486" spans="1:4" ht="15.75" thickBot="1" x14ac:dyDescent="0.3">
      <c r="A486" s="10" t="s">
        <v>1764</v>
      </c>
      <c r="B486" s="10">
        <v>25</v>
      </c>
      <c r="C486" s="10" t="s">
        <v>1209</v>
      </c>
      <c r="D486" s="10">
        <v>293</v>
      </c>
    </row>
    <row r="487" spans="1:4" ht="15.75" thickBot="1" x14ac:dyDescent="0.3">
      <c r="A487" s="10" t="s">
        <v>1764</v>
      </c>
      <c r="B487" s="10">
        <v>25</v>
      </c>
      <c r="C487" s="10" t="s">
        <v>1210</v>
      </c>
      <c r="D487" s="10">
        <v>295</v>
      </c>
    </row>
    <row r="488" spans="1:4" ht="15.75" thickBot="1" x14ac:dyDescent="0.3">
      <c r="A488" s="10" t="s">
        <v>1764</v>
      </c>
      <c r="B488" s="10">
        <v>25</v>
      </c>
      <c r="C488" s="10" t="s">
        <v>1211</v>
      </c>
      <c r="D488" s="10">
        <v>297</v>
      </c>
    </row>
    <row r="489" spans="1:4" ht="15.75" thickBot="1" x14ac:dyDescent="0.3">
      <c r="A489" s="10" t="s">
        <v>1764</v>
      </c>
      <c r="B489" s="10">
        <v>25</v>
      </c>
      <c r="C489" s="10" t="s">
        <v>1212</v>
      </c>
      <c r="D489" s="10">
        <v>299</v>
      </c>
    </row>
    <row r="490" spans="1:4" ht="15.75" thickBot="1" x14ac:dyDescent="0.3">
      <c r="A490" s="10" t="s">
        <v>1764</v>
      </c>
      <c r="B490" s="10">
        <v>25</v>
      </c>
      <c r="C490" s="10" t="s">
        <v>1213</v>
      </c>
      <c r="D490" s="10">
        <v>307</v>
      </c>
    </row>
    <row r="491" spans="1:4" ht="15.75" thickBot="1" x14ac:dyDescent="0.3">
      <c r="A491" s="10" t="s">
        <v>1764</v>
      </c>
      <c r="B491" s="10">
        <v>25</v>
      </c>
      <c r="C491" s="10" t="s">
        <v>804</v>
      </c>
      <c r="D491" s="10">
        <v>312</v>
      </c>
    </row>
    <row r="492" spans="1:4" ht="15.75" thickBot="1" x14ac:dyDescent="0.3">
      <c r="A492" s="10" t="s">
        <v>1764</v>
      </c>
      <c r="B492" s="10">
        <v>25</v>
      </c>
      <c r="C492" s="10" t="s">
        <v>1214</v>
      </c>
      <c r="D492" s="10">
        <v>317</v>
      </c>
    </row>
    <row r="493" spans="1:4" ht="15.75" thickBot="1" x14ac:dyDescent="0.3">
      <c r="A493" s="10" t="s">
        <v>1764</v>
      </c>
      <c r="B493" s="10">
        <v>25</v>
      </c>
      <c r="C493" s="10" t="s">
        <v>1215</v>
      </c>
      <c r="D493" s="10">
        <v>320</v>
      </c>
    </row>
    <row r="494" spans="1:4" ht="15.75" thickBot="1" x14ac:dyDescent="0.3">
      <c r="A494" s="10" t="s">
        <v>1764</v>
      </c>
      <c r="B494" s="10">
        <v>25</v>
      </c>
      <c r="C494" s="10" t="s">
        <v>1216</v>
      </c>
      <c r="D494" s="10">
        <v>322</v>
      </c>
    </row>
    <row r="495" spans="1:4" ht="15.75" thickBot="1" x14ac:dyDescent="0.3">
      <c r="A495" s="10" t="s">
        <v>1764</v>
      </c>
      <c r="B495" s="10">
        <v>25</v>
      </c>
      <c r="C495" s="10" t="s">
        <v>1217</v>
      </c>
      <c r="D495" s="10">
        <v>324</v>
      </c>
    </row>
    <row r="496" spans="1:4" ht="15.75" thickBot="1" x14ac:dyDescent="0.3">
      <c r="A496" s="10" t="s">
        <v>1764</v>
      </c>
      <c r="B496" s="10">
        <v>25</v>
      </c>
      <c r="C496" s="10" t="s">
        <v>1218</v>
      </c>
      <c r="D496" s="10">
        <v>326</v>
      </c>
    </row>
    <row r="497" spans="1:4" ht="15.75" thickBot="1" x14ac:dyDescent="0.3">
      <c r="A497" s="10" t="s">
        <v>1764</v>
      </c>
      <c r="B497" s="10">
        <v>25</v>
      </c>
      <c r="C497" s="10" t="s">
        <v>1219</v>
      </c>
      <c r="D497" s="10">
        <v>328</v>
      </c>
    </row>
    <row r="498" spans="1:4" ht="15.75" thickBot="1" x14ac:dyDescent="0.3">
      <c r="A498" s="10" t="s">
        <v>1764</v>
      </c>
      <c r="B498" s="10">
        <v>25</v>
      </c>
      <c r="C498" s="10" t="s">
        <v>1220</v>
      </c>
      <c r="D498" s="10">
        <v>335</v>
      </c>
    </row>
    <row r="499" spans="1:4" ht="15.75" thickBot="1" x14ac:dyDescent="0.3">
      <c r="A499" s="10" t="s">
        <v>1764</v>
      </c>
      <c r="B499" s="10">
        <v>25</v>
      </c>
      <c r="C499" s="10" t="s">
        <v>1221</v>
      </c>
      <c r="D499" s="10">
        <v>339</v>
      </c>
    </row>
    <row r="500" spans="1:4" ht="15.75" thickBot="1" x14ac:dyDescent="0.3">
      <c r="A500" s="10" t="s">
        <v>1764</v>
      </c>
      <c r="B500" s="10">
        <v>25</v>
      </c>
      <c r="C500" s="10" t="s">
        <v>1222</v>
      </c>
      <c r="D500" s="10">
        <v>368</v>
      </c>
    </row>
    <row r="501" spans="1:4" ht="15.75" thickBot="1" x14ac:dyDescent="0.3">
      <c r="A501" s="10" t="s">
        <v>1764</v>
      </c>
      <c r="B501" s="10">
        <v>25</v>
      </c>
      <c r="C501" s="10" t="s">
        <v>1223</v>
      </c>
      <c r="D501" s="10">
        <v>372</v>
      </c>
    </row>
    <row r="502" spans="1:4" ht="15.75" thickBot="1" x14ac:dyDescent="0.3">
      <c r="A502" s="10" t="s">
        <v>1764</v>
      </c>
      <c r="B502" s="10">
        <v>25</v>
      </c>
      <c r="C502" s="10" t="s">
        <v>1224</v>
      </c>
      <c r="D502" s="10">
        <v>377</v>
      </c>
    </row>
    <row r="503" spans="1:4" ht="15.75" thickBot="1" x14ac:dyDescent="0.3">
      <c r="A503" s="10" t="s">
        <v>1764</v>
      </c>
      <c r="B503" s="10">
        <v>25</v>
      </c>
      <c r="C503" s="10" t="s">
        <v>1225</v>
      </c>
      <c r="D503" s="10">
        <v>386</v>
      </c>
    </row>
    <row r="504" spans="1:4" ht="15.75" thickBot="1" x14ac:dyDescent="0.3">
      <c r="A504" s="10" t="s">
        <v>1764</v>
      </c>
      <c r="B504" s="10">
        <v>25</v>
      </c>
      <c r="C504" s="10" t="s">
        <v>1226</v>
      </c>
      <c r="D504" s="10">
        <v>394</v>
      </c>
    </row>
    <row r="505" spans="1:4" ht="15.75" thickBot="1" x14ac:dyDescent="0.3">
      <c r="A505" s="10" t="s">
        <v>1764</v>
      </c>
      <c r="B505" s="10">
        <v>25</v>
      </c>
      <c r="C505" s="10" t="s">
        <v>1227</v>
      </c>
      <c r="D505" s="10">
        <v>398</v>
      </c>
    </row>
    <row r="506" spans="1:4" ht="15.75" thickBot="1" x14ac:dyDescent="0.3">
      <c r="A506" s="10" t="s">
        <v>1764</v>
      </c>
      <c r="B506" s="10">
        <v>25</v>
      </c>
      <c r="C506" s="10" t="s">
        <v>1116</v>
      </c>
      <c r="D506" s="10">
        <v>402</v>
      </c>
    </row>
    <row r="507" spans="1:4" ht="15.75" thickBot="1" x14ac:dyDescent="0.3">
      <c r="A507" s="10" t="s">
        <v>1764</v>
      </c>
      <c r="B507" s="10">
        <v>25</v>
      </c>
      <c r="C507" s="10" t="s">
        <v>1228</v>
      </c>
      <c r="D507" s="10">
        <v>407</v>
      </c>
    </row>
    <row r="508" spans="1:4" ht="15.75" thickBot="1" x14ac:dyDescent="0.3">
      <c r="A508" s="10" t="s">
        <v>1764</v>
      </c>
      <c r="B508" s="10">
        <v>25</v>
      </c>
      <c r="C508" s="10" t="s">
        <v>1229</v>
      </c>
      <c r="D508" s="10">
        <v>426</v>
      </c>
    </row>
    <row r="509" spans="1:4" ht="15.75" thickBot="1" x14ac:dyDescent="0.3">
      <c r="A509" s="10" t="s">
        <v>1764</v>
      </c>
      <c r="B509" s="10">
        <v>25</v>
      </c>
      <c r="C509" s="10" t="s">
        <v>1230</v>
      </c>
      <c r="D509" s="10">
        <v>430</v>
      </c>
    </row>
    <row r="510" spans="1:4" ht="15.75" thickBot="1" x14ac:dyDescent="0.3">
      <c r="A510" s="10" t="s">
        <v>1764</v>
      </c>
      <c r="B510" s="10">
        <v>25</v>
      </c>
      <c r="C510" s="10" t="s">
        <v>1231</v>
      </c>
      <c r="D510" s="10">
        <v>436</v>
      </c>
    </row>
    <row r="511" spans="1:4" ht="15.75" thickBot="1" x14ac:dyDescent="0.3">
      <c r="A511" s="10" t="s">
        <v>1764</v>
      </c>
      <c r="B511" s="10">
        <v>25</v>
      </c>
      <c r="C511" s="10" t="s">
        <v>1232</v>
      </c>
      <c r="D511" s="10">
        <v>438</v>
      </c>
    </row>
    <row r="512" spans="1:4" ht="15.75" thickBot="1" x14ac:dyDescent="0.3">
      <c r="A512" s="10" t="s">
        <v>1764</v>
      </c>
      <c r="B512" s="10">
        <v>25</v>
      </c>
      <c r="C512" s="10" t="s">
        <v>1233</v>
      </c>
      <c r="D512" s="10">
        <v>473</v>
      </c>
    </row>
    <row r="513" spans="1:4" ht="15.75" thickBot="1" x14ac:dyDescent="0.3">
      <c r="A513" s="10" t="s">
        <v>1764</v>
      </c>
      <c r="B513" s="10">
        <v>25</v>
      </c>
      <c r="C513" s="10" t="s">
        <v>824</v>
      </c>
      <c r="D513" s="10">
        <v>483</v>
      </c>
    </row>
    <row r="514" spans="1:4" ht="15.75" thickBot="1" x14ac:dyDescent="0.3">
      <c r="A514" s="10" t="s">
        <v>1764</v>
      </c>
      <c r="B514" s="10">
        <v>25</v>
      </c>
      <c r="C514" s="10" t="s">
        <v>1234</v>
      </c>
      <c r="D514" s="10">
        <v>486</v>
      </c>
    </row>
    <row r="515" spans="1:4" ht="15.75" thickBot="1" x14ac:dyDescent="0.3">
      <c r="A515" s="10" t="s">
        <v>1764</v>
      </c>
      <c r="B515" s="10">
        <v>25</v>
      </c>
      <c r="C515" s="10" t="s">
        <v>1235</v>
      </c>
      <c r="D515" s="10">
        <v>488</v>
      </c>
    </row>
    <row r="516" spans="1:4" ht="15.75" thickBot="1" x14ac:dyDescent="0.3">
      <c r="A516" s="10" t="s">
        <v>1764</v>
      </c>
      <c r="B516" s="10">
        <v>25</v>
      </c>
      <c r="C516" s="10" t="s">
        <v>1236</v>
      </c>
      <c r="D516" s="10">
        <v>489</v>
      </c>
    </row>
    <row r="517" spans="1:4" ht="15.75" thickBot="1" x14ac:dyDescent="0.3">
      <c r="A517" s="10" t="s">
        <v>1764</v>
      </c>
      <c r="B517" s="10">
        <v>25</v>
      </c>
      <c r="C517" s="10" t="s">
        <v>1237</v>
      </c>
      <c r="D517" s="10">
        <v>491</v>
      </c>
    </row>
    <row r="518" spans="1:4" ht="15.75" thickBot="1" x14ac:dyDescent="0.3">
      <c r="A518" s="10" t="s">
        <v>1764</v>
      </c>
      <c r="B518" s="10">
        <v>25</v>
      </c>
      <c r="C518" s="10" t="s">
        <v>1238</v>
      </c>
      <c r="D518" s="10">
        <v>506</v>
      </c>
    </row>
    <row r="519" spans="1:4" ht="15.75" thickBot="1" x14ac:dyDescent="0.3">
      <c r="A519" s="10" t="s">
        <v>1764</v>
      </c>
      <c r="B519" s="10">
        <v>25</v>
      </c>
      <c r="C519" s="10" t="s">
        <v>1239</v>
      </c>
      <c r="D519" s="10">
        <v>513</v>
      </c>
    </row>
    <row r="520" spans="1:4" ht="15.75" thickBot="1" x14ac:dyDescent="0.3">
      <c r="A520" s="10" t="s">
        <v>1764</v>
      </c>
      <c r="B520" s="10">
        <v>25</v>
      </c>
      <c r="C520" s="10" t="s">
        <v>1240</v>
      </c>
      <c r="D520" s="10">
        <v>518</v>
      </c>
    </row>
    <row r="521" spans="1:4" ht="15.75" thickBot="1" x14ac:dyDescent="0.3">
      <c r="A521" s="10" t="s">
        <v>1764</v>
      </c>
      <c r="B521" s="10">
        <v>25</v>
      </c>
      <c r="C521" s="10" t="s">
        <v>1241</v>
      </c>
      <c r="D521" s="10">
        <v>524</v>
      </c>
    </row>
    <row r="522" spans="1:4" ht="15.75" thickBot="1" x14ac:dyDescent="0.3">
      <c r="A522" s="10" t="s">
        <v>1764</v>
      </c>
      <c r="B522" s="10">
        <v>25</v>
      </c>
      <c r="C522" s="10" t="s">
        <v>1242</v>
      </c>
      <c r="D522" s="10">
        <v>530</v>
      </c>
    </row>
    <row r="523" spans="1:4" ht="15.75" thickBot="1" x14ac:dyDescent="0.3">
      <c r="A523" s="10" t="s">
        <v>1764</v>
      </c>
      <c r="B523" s="10">
        <v>25</v>
      </c>
      <c r="C523" s="10" t="s">
        <v>1243</v>
      </c>
      <c r="D523" s="10">
        <v>535</v>
      </c>
    </row>
    <row r="524" spans="1:4" ht="15.75" thickBot="1" x14ac:dyDescent="0.3">
      <c r="A524" s="10" t="s">
        <v>1764</v>
      </c>
      <c r="B524" s="10">
        <v>25</v>
      </c>
      <c r="C524" s="10" t="s">
        <v>1244</v>
      </c>
      <c r="D524" s="10">
        <v>572</v>
      </c>
    </row>
    <row r="525" spans="1:4" ht="15.75" thickBot="1" x14ac:dyDescent="0.3">
      <c r="A525" s="10" t="s">
        <v>1764</v>
      </c>
      <c r="B525" s="10">
        <v>25</v>
      </c>
      <c r="C525" s="10" t="s">
        <v>1245</v>
      </c>
      <c r="D525" s="10">
        <v>580</v>
      </c>
    </row>
    <row r="526" spans="1:4" ht="15.75" thickBot="1" x14ac:dyDescent="0.3">
      <c r="A526" s="10" t="s">
        <v>1764</v>
      </c>
      <c r="B526" s="10">
        <v>25</v>
      </c>
      <c r="C526" s="10" t="s">
        <v>1246</v>
      </c>
      <c r="D526" s="10">
        <v>592</v>
      </c>
    </row>
    <row r="527" spans="1:4" ht="15.75" thickBot="1" x14ac:dyDescent="0.3">
      <c r="A527" s="10" t="s">
        <v>1764</v>
      </c>
      <c r="B527" s="10">
        <v>25</v>
      </c>
      <c r="C527" s="10" t="s">
        <v>1247</v>
      </c>
      <c r="D527" s="10">
        <v>594</v>
      </c>
    </row>
    <row r="528" spans="1:4" ht="15.75" thickBot="1" x14ac:dyDescent="0.3">
      <c r="A528" s="10" t="s">
        <v>1764</v>
      </c>
      <c r="B528" s="10">
        <v>25</v>
      </c>
      <c r="C528" s="10" t="s">
        <v>1248</v>
      </c>
      <c r="D528" s="10">
        <v>596</v>
      </c>
    </row>
    <row r="529" spans="1:4" ht="15.75" thickBot="1" x14ac:dyDescent="0.3">
      <c r="A529" s="10" t="s">
        <v>1764</v>
      </c>
      <c r="B529" s="10">
        <v>25</v>
      </c>
      <c r="C529" s="10" t="s">
        <v>1249</v>
      </c>
      <c r="D529" s="10">
        <v>599</v>
      </c>
    </row>
    <row r="530" spans="1:4" ht="15.75" thickBot="1" x14ac:dyDescent="0.3">
      <c r="A530" s="10" t="s">
        <v>1764</v>
      </c>
      <c r="B530" s="10">
        <v>25</v>
      </c>
      <c r="C530" s="10" t="s">
        <v>1250</v>
      </c>
      <c r="D530" s="10">
        <v>612</v>
      </c>
    </row>
    <row r="531" spans="1:4" ht="15.75" thickBot="1" x14ac:dyDescent="0.3">
      <c r="A531" s="10" t="s">
        <v>1764</v>
      </c>
      <c r="B531" s="10">
        <v>25</v>
      </c>
      <c r="C531" s="10" t="s">
        <v>1785</v>
      </c>
      <c r="D531" s="10">
        <v>645</v>
      </c>
    </row>
    <row r="532" spans="1:4" ht="15.75" thickBot="1" x14ac:dyDescent="0.3">
      <c r="A532" s="10" t="s">
        <v>1764</v>
      </c>
      <c r="B532" s="10">
        <v>25</v>
      </c>
      <c r="C532" s="10" t="s">
        <v>1251</v>
      </c>
      <c r="D532" s="10">
        <v>649</v>
      </c>
    </row>
    <row r="533" spans="1:4" ht="15.75" thickBot="1" x14ac:dyDescent="0.3">
      <c r="A533" s="10" t="s">
        <v>1764</v>
      </c>
      <c r="B533" s="10">
        <v>25</v>
      </c>
      <c r="C533" s="10" t="s">
        <v>1252</v>
      </c>
      <c r="D533" s="10">
        <v>653</v>
      </c>
    </row>
    <row r="534" spans="1:4" ht="15.75" thickBot="1" x14ac:dyDescent="0.3">
      <c r="A534" s="10" t="s">
        <v>1764</v>
      </c>
      <c r="B534" s="10">
        <v>25</v>
      </c>
      <c r="C534" s="10" t="s">
        <v>842</v>
      </c>
      <c r="D534" s="10">
        <v>658</v>
      </c>
    </row>
    <row r="535" spans="1:4" ht="15.75" thickBot="1" x14ac:dyDescent="0.3">
      <c r="A535" s="10" t="s">
        <v>1764</v>
      </c>
      <c r="B535" s="10">
        <v>25</v>
      </c>
      <c r="C535" s="10" t="s">
        <v>1253</v>
      </c>
      <c r="D535" s="10">
        <v>662</v>
      </c>
    </row>
    <row r="536" spans="1:4" ht="15.75" thickBot="1" x14ac:dyDescent="0.3">
      <c r="A536" s="10" t="s">
        <v>1764</v>
      </c>
      <c r="B536" s="10">
        <v>25</v>
      </c>
      <c r="C536" s="10" t="s">
        <v>1254</v>
      </c>
      <c r="D536" s="10">
        <v>718</v>
      </c>
    </row>
    <row r="537" spans="1:4" ht="15.75" thickBot="1" x14ac:dyDescent="0.3">
      <c r="A537" s="10" t="s">
        <v>1764</v>
      </c>
      <c r="B537" s="10">
        <v>25</v>
      </c>
      <c r="C537" s="10" t="s">
        <v>1255</v>
      </c>
      <c r="D537" s="10">
        <v>736</v>
      </c>
    </row>
    <row r="538" spans="1:4" ht="15.75" thickBot="1" x14ac:dyDescent="0.3">
      <c r="A538" s="10" t="s">
        <v>1764</v>
      </c>
      <c r="B538" s="10">
        <v>25</v>
      </c>
      <c r="C538" s="10" t="s">
        <v>1256</v>
      </c>
      <c r="D538" s="10">
        <v>740</v>
      </c>
    </row>
    <row r="539" spans="1:4" ht="15.75" thickBot="1" x14ac:dyDescent="0.3">
      <c r="A539" s="10" t="s">
        <v>1764</v>
      </c>
      <c r="B539" s="10">
        <v>25</v>
      </c>
      <c r="C539" s="10" t="s">
        <v>1257</v>
      </c>
      <c r="D539" s="10">
        <v>743</v>
      </c>
    </row>
    <row r="540" spans="1:4" ht="15.75" thickBot="1" x14ac:dyDescent="0.3">
      <c r="A540" s="10" t="s">
        <v>1764</v>
      </c>
      <c r="B540" s="10">
        <v>25</v>
      </c>
      <c r="C540" s="10" t="s">
        <v>1258</v>
      </c>
      <c r="D540" s="10">
        <v>745</v>
      </c>
    </row>
    <row r="541" spans="1:4" ht="15.75" thickBot="1" x14ac:dyDescent="0.3">
      <c r="A541" s="10" t="s">
        <v>1764</v>
      </c>
      <c r="B541" s="10">
        <v>25</v>
      </c>
      <c r="C541" s="10" t="s">
        <v>1259</v>
      </c>
      <c r="D541" s="10">
        <v>754</v>
      </c>
    </row>
    <row r="542" spans="1:4" ht="15.75" thickBot="1" x14ac:dyDescent="0.3">
      <c r="A542" s="10" t="s">
        <v>1764</v>
      </c>
      <c r="B542" s="10">
        <v>25</v>
      </c>
      <c r="C542" s="10" t="s">
        <v>1260</v>
      </c>
      <c r="D542" s="10">
        <v>758</v>
      </c>
    </row>
    <row r="543" spans="1:4" ht="15.75" thickBot="1" x14ac:dyDescent="0.3">
      <c r="A543" s="10" t="s">
        <v>1764</v>
      </c>
      <c r="B543" s="10">
        <v>25</v>
      </c>
      <c r="C543" s="10" t="s">
        <v>1261</v>
      </c>
      <c r="D543" s="10">
        <v>769</v>
      </c>
    </row>
    <row r="544" spans="1:4" ht="15.75" thickBot="1" x14ac:dyDescent="0.3">
      <c r="A544" s="10" t="s">
        <v>1764</v>
      </c>
      <c r="B544" s="10">
        <v>25</v>
      </c>
      <c r="C544" s="10" t="s">
        <v>1262</v>
      </c>
      <c r="D544" s="10">
        <v>772</v>
      </c>
    </row>
    <row r="545" spans="1:4" ht="15.75" thickBot="1" x14ac:dyDescent="0.3">
      <c r="A545" s="10" t="s">
        <v>1764</v>
      </c>
      <c r="B545" s="10">
        <v>25</v>
      </c>
      <c r="C545" s="10" t="s">
        <v>1263</v>
      </c>
      <c r="D545" s="10">
        <v>777</v>
      </c>
    </row>
    <row r="546" spans="1:4" ht="15.75" thickBot="1" x14ac:dyDescent="0.3">
      <c r="A546" s="10" t="s">
        <v>1764</v>
      </c>
      <c r="B546" s="10">
        <v>25</v>
      </c>
      <c r="C546" s="10" t="s">
        <v>1264</v>
      </c>
      <c r="D546" s="10">
        <v>779</v>
      </c>
    </row>
    <row r="547" spans="1:4" ht="15.75" thickBot="1" x14ac:dyDescent="0.3">
      <c r="A547" s="10" t="s">
        <v>1764</v>
      </c>
      <c r="B547" s="10">
        <v>25</v>
      </c>
      <c r="C547" s="10" t="s">
        <v>1265</v>
      </c>
      <c r="D547" s="10">
        <v>781</v>
      </c>
    </row>
    <row r="548" spans="1:4" ht="15.75" thickBot="1" x14ac:dyDescent="0.3">
      <c r="A548" s="10" t="s">
        <v>1764</v>
      </c>
      <c r="B548" s="10">
        <v>25</v>
      </c>
      <c r="C548" s="10" t="s">
        <v>1266</v>
      </c>
      <c r="D548" s="10">
        <v>785</v>
      </c>
    </row>
    <row r="549" spans="1:4" ht="15.75" thickBot="1" x14ac:dyDescent="0.3">
      <c r="A549" s="10" t="s">
        <v>1764</v>
      </c>
      <c r="B549" s="10">
        <v>25</v>
      </c>
      <c r="C549" s="10" t="s">
        <v>1267</v>
      </c>
      <c r="D549" s="10">
        <v>793</v>
      </c>
    </row>
    <row r="550" spans="1:4" ht="15.75" thickBot="1" x14ac:dyDescent="0.3">
      <c r="A550" s="10" t="s">
        <v>1764</v>
      </c>
      <c r="B550" s="10">
        <v>25</v>
      </c>
      <c r="C550" s="10" t="s">
        <v>1268</v>
      </c>
      <c r="D550" s="10">
        <v>797</v>
      </c>
    </row>
    <row r="551" spans="1:4" ht="15.75" thickBot="1" x14ac:dyDescent="0.3">
      <c r="A551" s="10" t="s">
        <v>1764</v>
      </c>
      <c r="B551" s="10">
        <v>25</v>
      </c>
      <c r="C551" s="10" t="s">
        <v>1269</v>
      </c>
      <c r="D551" s="10">
        <v>799</v>
      </c>
    </row>
    <row r="552" spans="1:4" ht="15.75" thickBot="1" x14ac:dyDescent="0.3">
      <c r="A552" s="10" t="s">
        <v>1764</v>
      </c>
      <c r="B552" s="10">
        <v>25</v>
      </c>
      <c r="C552" s="10" t="s">
        <v>1270</v>
      </c>
      <c r="D552" s="10">
        <v>805</v>
      </c>
    </row>
    <row r="553" spans="1:4" ht="15.75" thickBot="1" x14ac:dyDescent="0.3">
      <c r="A553" s="10" t="s">
        <v>1764</v>
      </c>
      <c r="B553" s="10">
        <v>25</v>
      </c>
      <c r="C553" s="10" t="s">
        <v>1271</v>
      </c>
      <c r="D553" s="10">
        <v>807</v>
      </c>
    </row>
    <row r="554" spans="1:4" ht="15.75" thickBot="1" x14ac:dyDescent="0.3">
      <c r="A554" s="10" t="s">
        <v>1764</v>
      </c>
      <c r="B554" s="10">
        <v>25</v>
      </c>
      <c r="C554" s="10" t="s">
        <v>1272</v>
      </c>
      <c r="D554" s="10">
        <v>815</v>
      </c>
    </row>
    <row r="555" spans="1:4" ht="15.75" thickBot="1" x14ac:dyDescent="0.3">
      <c r="A555" s="10" t="s">
        <v>1764</v>
      </c>
      <c r="B555" s="10">
        <v>25</v>
      </c>
      <c r="C555" s="10" t="s">
        <v>1273</v>
      </c>
      <c r="D555" s="10">
        <v>817</v>
      </c>
    </row>
    <row r="556" spans="1:4" ht="15.75" thickBot="1" x14ac:dyDescent="0.3">
      <c r="A556" s="10" t="s">
        <v>1764</v>
      </c>
      <c r="B556" s="10">
        <v>25</v>
      </c>
      <c r="C556" s="10" t="s">
        <v>1274</v>
      </c>
      <c r="D556" s="10">
        <v>823</v>
      </c>
    </row>
    <row r="557" spans="1:4" ht="15.75" thickBot="1" x14ac:dyDescent="0.3">
      <c r="A557" s="10" t="s">
        <v>1764</v>
      </c>
      <c r="B557" s="10">
        <v>25</v>
      </c>
      <c r="C557" s="10" t="s">
        <v>1275</v>
      </c>
      <c r="D557" s="10">
        <v>839</v>
      </c>
    </row>
    <row r="558" spans="1:4" ht="15.75" thickBot="1" x14ac:dyDescent="0.3">
      <c r="A558" s="10" t="s">
        <v>1764</v>
      </c>
      <c r="B558" s="10">
        <v>25</v>
      </c>
      <c r="C558" s="10" t="s">
        <v>1276</v>
      </c>
      <c r="D558" s="10">
        <v>841</v>
      </c>
    </row>
    <row r="559" spans="1:4" ht="15.75" thickBot="1" x14ac:dyDescent="0.3">
      <c r="A559" s="10" t="s">
        <v>1764</v>
      </c>
      <c r="B559" s="10">
        <v>25</v>
      </c>
      <c r="C559" s="10" t="s">
        <v>1277</v>
      </c>
      <c r="D559" s="10">
        <v>843</v>
      </c>
    </row>
    <row r="560" spans="1:4" ht="15.75" thickBot="1" x14ac:dyDescent="0.3">
      <c r="A560" s="10" t="s">
        <v>1764</v>
      </c>
      <c r="B560" s="10">
        <v>25</v>
      </c>
      <c r="C560" s="10" t="s">
        <v>1278</v>
      </c>
      <c r="D560" s="10">
        <v>845</v>
      </c>
    </row>
    <row r="561" spans="1:4" ht="15.75" thickBot="1" x14ac:dyDescent="0.3">
      <c r="A561" s="10" t="s">
        <v>1764</v>
      </c>
      <c r="B561" s="10">
        <v>25</v>
      </c>
      <c r="C561" s="10" t="s">
        <v>1279</v>
      </c>
      <c r="D561" s="10">
        <v>851</v>
      </c>
    </row>
    <row r="562" spans="1:4" ht="15.75" thickBot="1" x14ac:dyDescent="0.3">
      <c r="A562" s="10" t="s">
        <v>1764</v>
      </c>
      <c r="B562" s="10">
        <v>25</v>
      </c>
      <c r="C562" s="10" t="s">
        <v>1280</v>
      </c>
      <c r="D562" s="10">
        <v>862</v>
      </c>
    </row>
    <row r="563" spans="1:4" ht="15.75" thickBot="1" x14ac:dyDescent="0.3">
      <c r="A563" s="10" t="s">
        <v>1764</v>
      </c>
      <c r="B563" s="10">
        <v>25</v>
      </c>
      <c r="C563" s="10" t="s">
        <v>1281</v>
      </c>
      <c r="D563" s="10">
        <v>867</v>
      </c>
    </row>
    <row r="564" spans="1:4" ht="15.75" thickBot="1" x14ac:dyDescent="0.3">
      <c r="A564" s="10" t="s">
        <v>1764</v>
      </c>
      <c r="B564" s="10">
        <v>25</v>
      </c>
      <c r="C564" s="10" t="s">
        <v>1282</v>
      </c>
      <c r="D564" s="10">
        <v>871</v>
      </c>
    </row>
    <row r="565" spans="1:4" ht="15.75" thickBot="1" x14ac:dyDescent="0.3">
      <c r="A565" s="10" t="s">
        <v>1764</v>
      </c>
      <c r="B565" s="10">
        <v>25</v>
      </c>
      <c r="C565" s="10" t="s">
        <v>1283</v>
      </c>
      <c r="D565" s="10">
        <v>873</v>
      </c>
    </row>
    <row r="566" spans="1:4" ht="15.75" thickBot="1" x14ac:dyDescent="0.3">
      <c r="A566" s="10" t="s">
        <v>1764</v>
      </c>
      <c r="B566" s="10">
        <v>25</v>
      </c>
      <c r="C566" s="10" t="s">
        <v>1284</v>
      </c>
      <c r="D566" s="10">
        <v>875</v>
      </c>
    </row>
    <row r="567" spans="1:4" ht="15.75" thickBot="1" x14ac:dyDescent="0.3">
      <c r="A567" s="10" t="s">
        <v>1764</v>
      </c>
      <c r="B567" s="10">
        <v>25</v>
      </c>
      <c r="C567" s="10" t="s">
        <v>1285</v>
      </c>
      <c r="D567" s="10">
        <v>878</v>
      </c>
    </row>
    <row r="568" spans="1:4" ht="15.75" thickBot="1" x14ac:dyDescent="0.3">
      <c r="A568" s="10" t="s">
        <v>1764</v>
      </c>
      <c r="B568" s="10">
        <v>25</v>
      </c>
      <c r="C568" s="10" t="s">
        <v>1286</v>
      </c>
      <c r="D568" s="10">
        <v>885</v>
      </c>
    </row>
    <row r="569" spans="1:4" ht="15.75" thickBot="1" x14ac:dyDescent="0.3">
      <c r="A569" s="10" t="s">
        <v>1764</v>
      </c>
      <c r="B569" s="10">
        <v>25</v>
      </c>
      <c r="C569" s="10" t="s">
        <v>1287</v>
      </c>
      <c r="D569" s="10">
        <v>898</v>
      </c>
    </row>
    <row r="570" spans="1:4" ht="15.75" thickBot="1" x14ac:dyDescent="0.3">
      <c r="A570" s="10" t="s">
        <v>1764</v>
      </c>
      <c r="B570" s="10">
        <v>25</v>
      </c>
      <c r="C570" s="10" t="s">
        <v>1288</v>
      </c>
      <c r="D570" s="10">
        <v>899</v>
      </c>
    </row>
    <row r="571" spans="1:4" ht="15.75" thickBot="1" x14ac:dyDescent="0.3">
      <c r="A571" s="10" t="s">
        <v>1765</v>
      </c>
      <c r="B571" s="10">
        <v>27</v>
      </c>
      <c r="C571" s="10" t="s">
        <v>1289</v>
      </c>
      <c r="D571" s="10">
        <v>1</v>
      </c>
    </row>
    <row r="572" spans="1:4" ht="15.75" thickBot="1" x14ac:dyDescent="0.3">
      <c r="A572" s="10" t="s">
        <v>1765</v>
      </c>
      <c r="B572" s="10">
        <v>27</v>
      </c>
      <c r="C572" s="10" t="s">
        <v>1290</v>
      </c>
      <c r="D572" s="10">
        <v>6</v>
      </c>
    </row>
    <row r="573" spans="1:4" ht="15.75" thickBot="1" x14ac:dyDescent="0.3">
      <c r="A573" s="10" t="s">
        <v>1765</v>
      </c>
      <c r="B573" s="10">
        <v>27</v>
      </c>
      <c r="C573" s="10" t="s">
        <v>1291</v>
      </c>
      <c r="D573" s="10">
        <v>25</v>
      </c>
    </row>
    <row r="574" spans="1:4" ht="15.75" thickBot="1" x14ac:dyDescent="0.3">
      <c r="A574" s="10" t="s">
        <v>1765</v>
      </c>
      <c r="B574" s="10">
        <v>27</v>
      </c>
      <c r="C574" s="10" t="s">
        <v>1292</v>
      </c>
      <c r="D574" s="10">
        <v>50</v>
      </c>
    </row>
    <row r="575" spans="1:4" ht="15.75" thickBot="1" x14ac:dyDescent="0.3">
      <c r="A575" s="10" t="s">
        <v>1765</v>
      </c>
      <c r="B575" s="10">
        <v>27</v>
      </c>
      <c r="C575" s="10" t="s">
        <v>1293</v>
      </c>
      <c r="D575" s="10">
        <v>73</v>
      </c>
    </row>
    <row r="576" spans="1:4" ht="15.75" thickBot="1" x14ac:dyDescent="0.3">
      <c r="A576" s="10" t="s">
        <v>1765</v>
      </c>
      <c r="B576" s="10">
        <v>27</v>
      </c>
      <c r="C576" s="10" t="s">
        <v>1294</v>
      </c>
      <c r="D576" s="10">
        <v>75</v>
      </c>
    </row>
    <row r="577" spans="1:4" ht="15.75" thickBot="1" x14ac:dyDescent="0.3">
      <c r="A577" s="10" t="s">
        <v>1765</v>
      </c>
      <c r="B577" s="10">
        <v>27</v>
      </c>
      <c r="C577" s="10" t="s">
        <v>1295</v>
      </c>
      <c r="D577" s="10">
        <v>77</v>
      </c>
    </row>
    <row r="578" spans="1:4" ht="15.75" thickBot="1" x14ac:dyDescent="0.3">
      <c r="A578" s="10" t="s">
        <v>1765</v>
      </c>
      <c r="B578" s="10">
        <v>27</v>
      </c>
      <c r="C578" s="10" t="s">
        <v>1296</v>
      </c>
      <c r="D578" s="10">
        <v>99</v>
      </c>
    </row>
    <row r="579" spans="1:4" ht="15.75" thickBot="1" x14ac:dyDescent="0.3">
      <c r="A579" s="10" t="s">
        <v>1765</v>
      </c>
      <c r="B579" s="10">
        <v>27</v>
      </c>
      <c r="C579" s="10" t="s">
        <v>1297</v>
      </c>
      <c r="D579" s="10">
        <v>135</v>
      </c>
    </row>
    <row r="580" spans="1:4" ht="15.75" thickBot="1" x14ac:dyDescent="0.3">
      <c r="A580" s="10" t="s">
        <v>1765</v>
      </c>
      <c r="B580" s="10">
        <v>27</v>
      </c>
      <c r="C580" s="10" t="s">
        <v>1298</v>
      </c>
      <c r="D580" s="10">
        <v>205</v>
      </c>
    </row>
    <row r="581" spans="1:4" ht="15.75" thickBot="1" x14ac:dyDescent="0.3">
      <c r="A581" s="10" t="s">
        <v>1765</v>
      </c>
      <c r="B581" s="10">
        <v>27</v>
      </c>
      <c r="C581" s="10" t="s">
        <v>1299</v>
      </c>
      <c r="D581" s="10">
        <v>245</v>
      </c>
    </row>
    <row r="582" spans="1:4" ht="15.75" thickBot="1" x14ac:dyDescent="0.3">
      <c r="A582" s="10" t="s">
        <v>1765</v>
      </c>
      <c r="B582" s="10">
        <v>27</v>
      </c>
      <c r="C582" s="10" t="s">
        <v>1300</v>
      </c>
      <c r="D582" s="10">
        <v>250</v>
      </c>
    </row>
    <row r="583" spans="1:4" ht="15.75" thickBot="1" x14ac:dyDescent="0.3">
      <c r="A583" s="10" t="s">
        <v>1765</v>
      </c>
      <c r="B583" s="10">
        <v>27</v>
      </c>
      <c r="C583" s="10" t="s">
        <v>1301</v>
      </c>
      <c r="D583" s="10">
        <v>361</v>
      </c>
    </row>
    <row r="584" spans="1:4" ht="15.75" thickBot="1" x14ac:dyDescent="0.3">
      <c r="A584" s="10" t="s">
        <v>1765</v>
      </c>
      <c r="B584" s="10">
        <v>27</v>
      </c>
      <c r="C584" s="10" t="s">
        <v>1302</v>
      </c>
      <c r="D584" s="10">
        <v>372</v>
      </c>
    </row>
    <row r="585" spans="1:4" ht="15.75" thickBot="1" x14ac:dyDescent="0.3">
      <c r="A585" s="10" t="s">
        <v>1765</v>
      </c>
      <c r="B585" s="10">
        <v>27</v>
      </c>
      <c r="C585" s="10" t="s">
        <v>1303</v>
      </c>
      <c r="D585" s="10">
        <v>413</v>
      </c>
    </row>
    <row r="586" spans="1:4" ht="15.75" thickBot="1" x14ac:dyDescent="0.3">
      <c r="A586" s="10" t="s">
        <v>1765</v>
      </c>
      <c r="B586" s="10">
        <v>27</v>
      </c>
      <c r="C586" s="10" t="s">
        <v>1304</v>
      </c>
      <c r="D586" s="10">
        <v>425</v>
      </c>
    </row>
    <row r="587" spans="1:4" ht="15.75" thickBot="1" x14ac:dyDescent="0.3">
      <c r="A587" s="10" t="s">
        <v>1765</v>
      </c>
      <c r="B587" s="10">
        <v>27</v>
      </c>
      <c r="C587" s="10" t="s">
        <v>1305</v>
      </c>
      <c r="D587" s="10">
        <v>430</v>
      </c>
    </row>
    <row r="588" spans="1:4" ht="15.75" thickBot="1" x14ac:dyDescent="0.3">
      <c r="A588" s="10" t="s">
        <v>1765</v>
      </c>
      <c r="B588" s="10">
        <v>27</v>
      </c>
      <c r="C588" s="10" t="s">
        <v>1306</v>
      </c>
      <c r="D588" s="10">
        <v>491</v>
      </c>
    </row>
    <row r="589" spans="1:4" ht="15.75" thickBot="1" x14ac:dyDescent="0.3">
      <c r="A589" s="10" t="s">
        <v>1765</v>
      </c>
      <c r="B589" s="10">
        <v>27</v>
      </c>
      <c r="C589" s="10" t="s">
        <v>1307</v>
      </c>
      <c r="D589" s="10">
        <v>495</v>
      </c>
    </row>
    <row r="590" spans="1:4" ht="15.75" thickBot="1" x14ac:dyDescent="0.3">
      <c r="A590" s="10" t="s">
        <v>1765</v>
      </c>
      <c r="B590" s="10">
        <v>27</v>
      </c>
      <c r="C590" s="10" t="s">
        <v>1308</v>
      </c>
      <c r="D590" s="10">
        <v>600</v>
      </c>
    </row>
    <row r="591" spans="1:4" ht="15.75" thickBot="1" x14ac:dyDescent="0.3">
      <c r="A591" s="10" t="s">
        <v>1765</v>
      </c>
      <c r="B591" s="10">
        <v>27</v>
      </c>
      <c r="C591" s="10" t="s">
        <v>1080</v>
      </c>
      <c r="D591" s="10">
        <v>615</v>
      </c>
    </row>
    <row r="592" spans="1:4" ht="15.75" thickBot="1" x14ac:dyDescent="0.3">
      <c r="A592" s="10" t="s">
        <v>1765</v>
      </c>
      <c r="B592" s="10">
        <v>27</v>
      </c>
      <c r="C592" s="10" t="s">
        <v>1309</v>
      </c>
      <c r="D592" s="10">
        <v>660</v>
      </c>
    </row>
    <row r="593" spans="1:4" ht="15.75" thickBot="1" x14ac:dyDescent="0.3">
      <c r="A593" s="10" t="s">
        <v>1765</v>
      </c>
      <c r="B593" s="10">
        <v>27</v>
      </c>
      <c r="C593" s="10" t="s">
        <v>1310</v>
      </c>
      <c r="D593" s="10">
        <v>745</v>
      </c>
    </row>
    <row r="594" spans="1:4" ht="15.75" thickBot="1" x14ac:dyDescent="0.3">
      <c r="A594" s="10" t="s">
        <v>1765</v>
      </c>
      <c r="B594" s="10">
        <v>27</v>
      </c>
      <c r="C594" s="10" t="s">
        <v>1311</v>
      </c>
      <c r="D594" s="10">
        <v>787</v>
      </c>
    </row>
    <row r="595" spans="1:4" ht="15.75" thickBot="1" x14ac:dyDescent="0.3">
      <c r="A595" s="10" t="s">
        <v>1765</v>
      </c>
      <c r="B595" s="10">
        <v>27</v>
      </c>
      <c r="C595" s="10" t="s">
        <v>1312</v>
      </c>
      <c r="D595" s="10">
        <v>800</v>
      </c>
    </row>
    <row r="596" spans="1:4" ht="15.75" thickBot="1" x14ac:dyDescent="0.3">
      <c r="A596" s="10" t="s">
        <v>1765</v>
      </c>
      <c r="B596" s="10">
        <v>27</v>
      </c>
      <c r="C596" s="10" t="s">
        <v>1313</v>
      </c>
      <c r="D596" s="10">
        <v>810</v>
      </c>
    </row>
    <row r="597" spans="1:4" ht="15.75" thickBot="1" x14ac:dyDescent="0.3">
      <c r="A597" s="10" t="s">
        <v>1766</v>
      </c>
      <c r="B597" s="10">
        <v>41</v>
      </c>
      <c r="C597" s="10" t="s">
        <v>1314</v>
      </c>
      <c r="D597" s="10">
        <v>1</v>
      </c>
    </row>
    <row r="598" spans="1:4" ht="15.75" thickBot="1" x14ac:dyDescent="0.3">
      <c r="A598" s="10" t="s">
        <v>1766</v>
      </c>
      <c r="B598" s="10">
        <v>41</v>
      </c>
      <c r="C598" s="10" t="s">
        <v>1315</v>
      </c>
      <c r="D598" s="10">
        <v>6</v>
      </c>
    </row>
    <row r="599" spans="1:4" ht="15.75" thickBot="1" x14ac:dyDescent="0.3">
      <c r="A599" s="10" t="s">
        <v>1766</v>
      </c>
      <c r="B599" s="10">
        <v>41</v>
      </c>
      <c r="C599" s="10" t="s">
        <v>1316</v>
      </c>
      <c r="D599" s="10">
        <v>13</v>
      </c>
    </row>
    <row r="600" spans="1:4" ht="15.75" thickBot="1" x14ac:dyDescent="0.3">
      <c r="A600" s="10" t="s">
        <v>1766</v>
      </c>
      <c r="B600" s="10">
        <v>41</v>
      </c>
      <c r="C600" s="10" t="s">
        <v>1317</v>
      </c>
      <c r="D600" s="10">
        <v>16</v>
      </c>
    </row>
    <row r="601" spans="1:4" ht="15.75" thickBot="1" x14ac:dyDescent="0.3">
      <c r="A601" s="10" t="s">
        <v>1766</v>
      </c>
      <c r="B601" s="10">
        <v>41</v>
      </c>
      <c r="C601" s="10" t="s">
        <v>1318</v>
      </c>
      <c r="D601" s="10">
        <v>20</v>
      </c>
    </row>
    <row r="602" spans="1:4" ht="15.75" thickBot="1" x14ac:dyDescent="0.3">
      <c r="A602" s="10" t="s">
        <v>1766</v>
      </c>
      <c r="B602" s="10">
        <v>41</v>
      </c>
      <c r="C602" s="10" t="s">
        <v>1319</v>
      </c>
      <c r="D602" s="10">
        <v>26</v>
      </c>
    </row>
    <row r="603" spans="1:4" ht="15.75" thickBot="1" x14ac:dyDescent="0.3">
      <c r="A603" s="10" t="s">
        <v>1766</v>
      </c>
      <c r="B603" s="10">
        <v>41</v>
      </c>
      <c r="C603" s="10" t="s">
        <v>1320</v>
      </c>
      <c r="D603" s="10">
        <v>78</v>
      </c>
    </row>
    <row r="604" spans="1:4" ht="15.75" thickBot="1" x14ac:dyDescent="0.3">
      <c r="A604" s="10" t="s">
        <v>1766</v>
      </c>
      <c r="B604" s="10">
        <v>41</v>
      </c>
      <c r="C604" s="10" t="s">
        <v>1321</v>
      </c>
      <c r="D604" s="10">
        <v>132</v>
      </c>
    </row>
    <row r="605" spans="1:4" ht="15.75" thickBot="1" x14ac:dyDescent="0.3">
      <c r="A605" s="10" t="s">
        <v>1766</v>
      </c>
      <c r="B605" s="10">
        <v>41</v>
      </c>
      <c r="C605" s="10" t="s">
        <v>1322</v>
      </c>
      <c r="D605" s="10">
        <v>206</v>
      </c>
    </row>
    <row r="606" spans="1:4" ht="15.75" thickBot="1" x14ac:dyDescent="0.3">
      <c r="A606" s="10" t="s">
        <v>1766</v>
      </c>
      <c r="B606" s="10">
        <v>41</v>
      </c>
      <c r="C606" s="10" t="s">
        <v>1323</v>
      </c>
      <c r="D606" s="10">
        <v>244</v>
      </c>
    </row>
    <row r="607" spans="1:4" ht="15.75" thickBot="1" x14ac:dyDescent="0.3">
      <c r="A607" s="10" t="s">
        <v>1766</v>
      </c>
      <c r="B607" s="10">
        <v>41</v>
      </c>
      <c r="C607" s="10" t="s">
        <v>1324</v>
      </c>
      <c r="D607" s="10">
        <v>298</v>
      </c>
    </row>
    <row r="608" spans="1:4" ht="15.75" thickBot="1" x14ac:dyDescent="0.3">
      <c r="A608" s="10" t="s">
        <v>1766</v>
      </c>
      <c r="B608" s="10">
        <v>41</v>
      </c>
      <c r="C608" s="10" t="s">
        <v>1325</v>
      </c>
      <c r="D608" s="10">
        <v>306</v>
      </c>
    </row>
    <row r="609" spans="1:4" ht="15.75" thickBot="1" x14ac:dyDescent="0.3">
      <c r="A609" s="10" t="s">
        <v>1766</v>
      </c>
      <c r="B609" s="10">
        <v>41</v>
      </c>
      <c r="C609" s="10" t="s">
        <v>805</v>
      </c>
      <c r="D609" s="10">
        <v>319</v>
      </c>
    </row>
    <row r="610" spans="1:4" ht="15.75" thickBot="1" x14ac:dyDescent="0.3">
      <c r="A610" s="10" t="s">
        <v>1766</v>
      </c>
      <c r="B610" s="10">
        <v>41</v>
      </c>
      <c r="C610" s="10" t="s">
        <v>1326</v>
      </c>
      <c r="D610" s="10">
        <v>349</v>
      </c>
    </row>
    <row r="611" spans="1:4" ht="15.75" thickBot="1" x14ac:dyDescent="0.3">
      <c r="A611" s="10" t="s">
        <v>1766</v>
      </c>
      <c r="B611" s="10">
        <v>41</v>
      </c>
      <c r="C611" s="10" t="s">
        <v>1327</v>
      </c>
      <c r="D611" s="10">
        <v>357</v>
      </c>
    </row>
    <row r="612" spans="1:4" ht="15.75" thickBot="1" x14ac:dyDescent="0.3">
      <c r="A612" s="10" t="s">
        <v>1766</v>
      </c>
      <c r="B612" s="10">
        <v>41</v>
      </c>
      <c r="C612" s="10" t="s">
        <v>1328</v>
      </c>
      <c r="D612" s="10">
        <v>359</v>
      </c>
    </row>
    <row r="613" spans="1:4" ht="15.75" thickBot="1" x14ac:dyDescent="0.3">
      <c r="A613" s="10" t="s">
        <v>1766</v>
      </c>
      <c r="B613" s="10">
        <v>41</v>
      </c>
      <c r="C613" s="10" t="s">
        <v>1329</v>
      </c>
      <c r="D613" s="10">
        <v>378</v>
      </c>
    </row>
    <row r="614" spans="1:4" ht="15.75" thickBot="1" x14ac:dyDescent="0.3">
      <c r="A614" s="10" t="s">
        <v>1766</v>
      </c>
      <c r="B614" s="10">
        <v>41</v>
      </c>
      <c r="C614" s="10" t="s">
        <v>1330</v>
      </c>
      <c r="D614" s="10">
        <v>396</v>
      </c>
    </row>
    <row r="615" spans="1:4" ht="15.75" thickBot="1" x14ac:dyDescent="0.3">
      <c r="A615" s="10" t="s">
        <v>1766</v>
      </c>
      <c r="B615" s="10">
        <v>41</v>
      </c>
      <c r="C615" s="10" t="s">
        <v>1331</v>
      </c>
      <c r="D615" s="10">
        <v>483</v>
      </c>
    </row>
    <row r="616" spans="1:4" ht="15.75" thickBot="1" x14ac:dyDescent="0.3">
      <c r="A616" s="10" t="s">
        <v>1766</v>
      </c>
      <c r="B616" s="10">
        <v>41</v>
      </c>
      <c r="C616" s="10" t="s">
        <v>1332</v>
      </c>
      <c r="D616" s="10">
        <v>503</v>
      </c>
    </row>
    <row r="617" spans="1:4" ht="15.75" thickBot="1" x14ac:dyDescent="0.3">
      <c r="A617" s="10" t="s">
        <v>1766</v>
      </c>
      <c r="B617" s="10">
        <v>41</v>
      </c>
      <c r="C617" s="10" t="s">
        <v>1333</v>
      </c>
      <c r="D617" s="10">
        <v>518</v>
      </c>
    </row>
    <row r="618" spans="1:4" ht="15.75" thickBot="1" x14ac:dyDescent="0.3">
      <c r="A618" s="10" t="s">
        <v>1766</v>
      </c>
      <c r="B618" s="10">
        <v>41</v>
      </c>
      <c r="C618" s="10" t="s">
        <v>1334</v>
      </c>
      <c r="D618" s="10">
        <v>524</v>
      </c>
    </row>
    <row r="619" spans="1:4" ht="15.75" thickBot="1" x14ac:dyDescent="0.3">
      <c r="A619" s="10" t="s">
        <v>1766</v>
      </c>
      <c r="B619" s="10">
        <v>41</v>
      </c>
      <c r="C619" s="10" t="s">
        <v>1078</v>
      </c>
      <c r="D619" s="10">
        <v>530</v>
      </c>
    </row>
    <row r="620" spans="1:4" ht="15.75" thickBot="1" x14ac:dyDescent="0.3">
      <c r="A620" s="10" t="s">
        <v>1766</v>
      </c>
      <c r="B620" s="10">
        <v>41</v>
      </c>
      <c r="C620" s="10" t="s">
        <v>1335</v>
      </c>
      <c r="D620" s="10">
        <v>548</v>
      </c>
    </row>
    <row r="621" spans="1:4" ht="15.75" thickBot="1" x14ac:dyDescent="0.3">
      <c r="A621" s="10" t="s">
        <v>1766</v>
      </c>
      <c r="B621" s="10">
        <v>41</v>
      </c>
      <c r="C621" s="10" t="s">
        <v>1336</v>
      </c>
      <c r="D621" s="10">
        <v>551</v>
      </c>
    </row>
    <row r="622" spans="1:4" ht="15.75" thickBot="1" x14ac:dyDescent="0.3">
      <c r="A622" s="10" t="s">
        <v>1766</v>
      </c>
      <c r="B622" s="10">
        <v>41</v>
      </c>
      <c r="C622" s="10" t="s">
        <v>1337</v>
      </c>
      <c r="D622" s="10">
        <v>615</v>
      </c>
    </row>
    <row r="623" spans="1:4" ht="15.75" thickBot="1" x14ac:dyDescent="0.3">
      <c r="A623" s="10" t="s">
        <v>1766</v>
      </c>
      <c r="B623" s="10">
        <v>41</v>
      </c>
      <c r="C623" s="10" t="s">
        <v>1338</v>
      </c>
      <c r="D623" s="10">
        <v>660</v>
      </c>
    </row>
    <row r="624" spans="1:4" ht="15.75" thickBot="1" x14ac:dyDescent="0.3">
      <c r="A624" s="10" t="s">
        <v>1766</v>
      </c>
      <c r="B624" s="10">
        <v>41</v>
      </c>
      <c r="C624" s="10" t="s">
        <v>1339</v>
      </c>
      <c r="D624" s="10">
        <v>668</v>
      </c>
    </row>
    <row r="625" spans="1:4" ht="15.75" thickBot="1" x14ac:dyDescent="0.3">
      <c r="A625" s="10" t="s">
        <v>1766</v>
      </c>
      <c r="B625" s="10">
        <v>41</v>
      </c>
      <c r="C625" s="10" t="s">
        <v>1027</v>
      </c>
      <c r="D625" s="10">
        <v>676</v>
      </c>
    </row>
    <row r="626" spans="1:4" ht="15.75" thickBot="1" x14ac:dyDescent="0.3">
      <c r="A626" s="10" t="s">
        <v>1766</v>
      </c>
      <c r="B626" s="10">
        <v>41</v>
      </c>
      <c r="C626" s="10" t="s">
        <v>1340</v>
      </c>
      <c r="D626" s="10">
        <v>770</v>
      </c>
    </row>
    <row r="627" spans="1:4" ht="15.75" thickBot="1" x14ac:dyDescent="0.3">
      <c r="A627" s="10" t="s">
        <v>1766</v>
      </c>
      <c r="B627" s="10">
        <v>41</v>
      </c>
      <c r="C627" s="10" t="s">
        <v>1341</v>
      </c>
      <c r="D627" s="10">
        <v>791</v>
      </c>
    </row>
    <row r="628" spans="1:4" ht="15.75" thickBot="1" x14ac:dyDescent="0.3">
      <c r="A628" s="10" t="s">
        <v>1766</v>
      </c>
      <c r="B628" s="10">
        <v>41</v>
      </c>
      <c r="C628" s="10" t="s">
        <v>1342</v>
      </c>
      <c r="D628" s="10">
        <v>797</v>
      </c>
    </row>
    <row r="629" spans="1:4" ht="15.75" thickBot="1" x14ac:dyDescent="0.3">
      <c r="A629" s="10" t="s">
        <v>1766</v>
      </c>
      <c r="B629" s="10">
        <v>41</v>
      </c>
      <c r="C629" s="10" t="s">
        <v>1343</v>
      </c>
      <c r="D629" s="10">
        <v>799</v>
      </c>
    </row>
    <row r="630" spans="1:4" ht="15.75" thickBot="1" x14ac:dyDescent="0.3">
      <c r="A630" s="10" t="s">
        <v>1766</v>
      </c>
      <c r="B630" s="10">
        <v>41</v>
      </c>
      <c r="C630" s="10" t="s">
        <v>1344</v>
      </c>
      <c r="D630" s="10">
        <v>801</v>
      </c>
    </row>
    <row r="631" spans="1:4" ht="15.75" thickBot="1" x14ac:dyDescent="0.3">
      <c r="A631" s="10" t="s">
        <v>1766</v>
      </c>
      <c r="B631" s="10">
        <v>41</v>
      </c>
      <c r="C631" s="10" t="s">
        <v>1345</v>
      </c>
      <c r="D631" s="10">
        <v>807</v>
      </c>
    </row>
    <row r="632" spans="1:4" ht="15.75" thickBot="1" x14ac:dyDescent="0.3">
      <c r="A632" s="10" t="s">
        <v>1766</v>
      </c>
      <c r="B632" s="10">
        <v>41</v>
      </c>
      <c r="C632" s="10" t="s">
        <v>1346</v>
      </c>
      <c r="D632" s="10">
        <v>872</v>
      </c>
    </row>
    <row r="633" spans="1:4" ht="15.75" thickBot="1" x14ac:dyDescent="0.3">
      <c r="A633" s="10" t="s">
        <v>1766</v>
      </c>
      <c r="B633" s="10">
        <v>41</v>
      </c>
      <c r="C633" s="10" t="s">
        <v>1347</v>
      </c>
      <c r="D633" s="10">
        <v>885</v>
      </c>
    </row>
    <row r="634" spans="1:4" ht="15.75" thickBot="1" x14ac:dyDescent="0.3">
      <c r="A634" s="10" t="s">
        <v>1791</v>
      </c>
      <c r="B634" s="10">
        <v>44</v>
      </c>
      <c r="C634" s="10" t="s">
        <v>1348</v>
      </c>
      <c r="D634" s="10">
        <v>1</v>
      </c>
    </row>
    <row r="635" spans="1:4" ht="15.75" thickBot="1" x14ac:dyDescent="0.3">
      <c r="A635" s="10" t="s">
        <v>1791</v>
      </c>
      <c r="B635" s="10">
        <v>44</v>
      </c>
      <c r="C635" s="10" t="s">
        <v>1349</v>
      </c>
      <c r="D635" s="10">
        <v>78</v>
      </c>
    </row>
    <row r="636" spans="1:4" ht="15.75" thickBot="1" x14ac:dyDescent="0.3">
      <c r="A636" s="10" t="s">
        <v>1791</v>
      </c>
      <c r="B636" s="10">
        <v>44</v>
      </c>
      <c r="C636" s="10" t="s">
        <v>1350</v>
      </c>
      <c r="D636" s="10">
        <v>90</v>
      </c>
    </row>
    <row r="637" spans="1:4" ht="15.75" thickBot="1" x14ac:dyDescent="0.3">
      <c r="A637" s="10" t="s">
        <v>1791</v>
      </c>
      <c r="B637" s="10">
        <v>44</v>
      </c>
      <c r="C637" s="10" t="s">
        <v>1351</v>
      </c>
      <c r="D637" s="10">
        <v>98</v>
      </c>
    </row>
    <row r="638" spans="1:4" ht="15.75" thickBot="1" x14ac:dyDescent="0.3">
      <c r="A638" s="10" t="s">
        <v>1791</v>
      </c>
      <c r="B638" s="10">
        <v>44</v>
      </c>
      <c r="C638" s="10" t="s">
        <v>1352</v>
      </c>
      <c r="D638" s="10">
        <v>110</v>
      </c>
    </row>
    <row r="639" spans="1:4" ht="15.75" thickBot="1" x14ac:dyDescent="0.3">
      <c r="A639" s="10" t="s">
        <v>1791</v>
      </c>
      <c r="B639" s="10">
        <v>44</v>
      </c>
      <c r="C639" s="10" t="s">
        <v>1353</v>
      </c>
      <c r="D639" s="10">
        <v>279</v>
      </c>
    </row>
    <row r="640" spans="1:4" ht="15.75" thickBot="1" x14ac:dyDescent="0.3">
      <c r="A640" s="10" t="s">
        <v>1791</v>
      </c>
      <c r="B640" s="10">
        <v>44</v>
      </c>
      <c r="C640" s="10" t="s">
        <v>1354</v>
      </c>
      <c r="D640" s="10">
        <v>378</v>
      </c>
    </row>
    <row r="641" spans="1:4" ht="15.75" thickBot="1" x14ac:dyDescent="0.3">
      <c r="A641" s="10" t="s">
        <v>1791</v>
      </c>
      <c r="B641" s="10">
        <v>44</v>
      </c>
      <c r="C641" s="10" t="s">
        <v>1355</v>
      </c>
      <c r="D641" s="10">
        <v>420</v>
      </c>
    </row>
    <row r="642" spans="1:4" ht="15.75" thickBot="1" x14ac:dyDescent="0.3">
      <c r="A642" s="10" t="s">
        <v>1791</v>
      </c>
      <c r="B642" s="10">
        <v>44</v>
      </c>
      <c r="C642" s="10" t="s">
        <v>1356</v>
      </c>
      <c r="D642" s="10">
        <v>430</v>
      </c>
    </row>
    <row r="643" spans="1:4" ht="15.75" thickBot="1" x14ac:dyDescent="0.3">
      <c r="A643" s="10" t="s">
        <v>1791</v>
      </c>
      <c r="B643" s="10">
        <v>44</v>
      </c>
      <c r="C643" s="10" t="s">
        <v>1357</v>
      </c>
      <c r="D643" s="10">
        <v>560</v>
      </c>
    </row>
    <row r="644" spans="1:4" ht="15.75" thickBot="1" x14ac:dyDescent="0.3">
      <c r="A644" s="10" t="s">
        <v>1791</v>
      </c>
      <c r="B644" s="10">
        <v>44</v>
      </c>
      <c r="C644" s="10" t="s">
        <v>1358</v>
      </c>
      <c r="D644" s="10">
        <v>650</v>
      </c>
    </row>
    <row r="645" spans="1:4" ht="15.75" thickBot="1" x14ac:dyDescent="0.3">
      <c r="A645" s="10" t="s">
        <v>1791</v>
      </c>
      <c r="B645" s="10">
        <v>44</v>
      </c>
      <c r="C645" s="10" t="s">
        <v>1359</v>
      </c>
      <c r="D645" s="10">
        <v>847</v>
      </c>
    </row>
    <row r="646" spans="1:4" ht="15.75" thickBot="1" x14ac:dyDescent="0.3">
      <c r="A646" s="10" t="s">
        <v>1791</v>
      </c>
      <c r="B646" s="10">
        <v>44</v>
      </c>
      <c r="C646" s="10" t="s">
        <v>1360</v>
      </c>
      <c r="D646" s="10">
        <v>855</v>
      </c>
    </row>
    <row r="647" spans="1:4" ht="15.75" thickBot="1" x14ac:dyDescent="0.3">
      <c r="A647" s="10" t="s">
        <v>1791</v>
      </c>
      <c r="B647" s="10">
        <v>44</v>
      </c>
      <c r="C647" s="10" t="s">
        <v>940</v>
      </c>
      <c r="D647" s="10">
        <v>874</v>
      </c>
    </row>
    <row r="648" spans="1:4" ht="15.75" thickBot="1" x14ac:dyDescent="0.3">
      <c r="A648" s="118" t="s">
        <v>1768</v>
      </c>
      <c r="B648" s="118">
        <v>47</v>
      </c>
      <c r="C648" s="118" t="s">
        <v>1786</v>
      </c>
      <c r="D648" s="118">
        <v>1</v>
      </c>
    </row>
    <row r="649" spans="1:4" ht="15.75" thickBot="1" x14ac:dyDescent="0.3">
      <c r="A649" s="118" t="s">
        <v>1768</v>
      </c>
      <c r="B649" s="118">
        <v>47</v>
      </c>
      <c r="C649" s="118" t="s">
        <v>1361</v>
      </c>
      <c r="D649" s="118">
        <v>30</v>
      </c>
    </row>
    <row r="650" spans="1:4" ht="15.75" thickBot="1" x14ac:dyDescent="0.3">
      <c r="A650" s="118" t="s">
        <v>1768</v>
      </c>
      <c r="B650" s="118">
        <v>47</v>
      </c>
      <c r="C650" s="118" t="s">
        <v>1362</v>
      </c>
      <c r="D650" s="118">
        <v>53</v>
      </c>
    </row>
    <row r="651" spans="1:4" ht="15.75" thickBot="1" x14ac:dyDescent="0.3">
      <c r="A651" s="118" t="s">
        <v>1768</v>
      </c>
      <c r="B651" s="118">
        <v>47</v>
      </c>
      <c r="C651" s="118" t="s">
        <v>1363</v>
      </c>
      <c r="D651" s="118">
        <v>58</v>
      </c>
    </row>
    <row r="652" spans="1:4" ht="15.75" thickBot="1" x14ac:dyDescent="0.3">
      <c r="A652" s="118" t="s">
        <v>1768</v>
      </c>
      <c r="B652" s="118">
        <v>47</v>
      </c>
      <c r="C652" s="118" t="s">
        <v>1364</v>
      </c>
      <c r="D652" s="118">
        <v>161</v>
      </c>
    </row>
    <row r="653" spans="1:4" ht="15.75" thickBot="1" x14ac:dyDescent="0.3">
      <c r="A653" s="118" t="s">
        <v>1768</v>
      </c>
      <c r="B653" s="118">
        <v>47</v>
      </c>
      <c r="C653" s="118" t="s">
        <v>1365</v>
      </c>
      <c r="D653" s="118">
        <v>170</v>
      </c>
    </row>
    <row r="654" spans="1:4" ht="15.75" thickBot="1" x14ac:dyDescent="0.3">
      <c r="A654" s="118" t="s">
        <v>1768</v>
      </c>
      <c r="B654" s="118">
        <v>47</v>
      </c>
      <c r="C654" s="118" t="s">
        <v>1366</v>
      </c>
      <c r="D654" s="118">
        <v>189</v>
      </c>
    </row>
    <row r="655" spans="1:4" ht="15.75" thickBot="1" x14ac:dyDescent="0.3">
      <c r="A655" s="118" t="s">
        <v>1768</v>
      </c>
      <c r="B655" s="118">
        <v>47</v>
      </c>
      <c r="C655" s="118" t="s">
        <v>791</v>
      </c>
      <c r="D655" s="118">
        <v>205</v>
      </c>
    </row>
    <row r="656" spans="1:4" ht="15.75" thickBot="1" x14ac:dyDescent="0.3">
      <c r="A656" s="118" t="s">
        <v>1768</v>
      </c>
      <c r="B656" s="118">
        <v>47</v>
      </c>
      <c r="C656" s="118" t="s">
        <v>1367</v>
      </c>
      <c r="D656" s="118">
        <v>245</v>
      </c>
    </row>
    <row r="657" spans="1:4" ht="15.75" thickBot="1" x14ac:dyDescent="0.3">
      <c r="A657" s="118" t="s">
        <v>1768</v>
      </c>
      <c r="B657" s="118">
        <v>47</v>
      </c>
      <c r="C657" s="118" t="s">
        <v>1368</v>
      </c>
      <c r="D657" s="118">
        <v>258</v>
      </c>
    </row>
    <row r="658" spans="1:4" ht="15.75" thickBot="1" x14ac:dyDescent="0.3">
      <c r="A658" s="118" t="s">
        <v>1768</v>
      </c>
      <c r="B658" s="118">
        <v>47</v>
      </c>
      <c r="C658" s="118" t="s">
        <v>1369</v>
      </c>
      <c r="D658" s="118">
        <v>268</v>
      </c>
    </row>
    <row r="659" spans="1:4" ht="15.75" thickBot="1" x14ac:dyDescent="0.3">
      <c r="A659" s="118" t="s">
        <v>1768</v>
      </c>
      <c r="B659" s="118">
        <v>47</v>
      </c>
      <c r="C659" s="118" t="s">
        <v>1370</v>
      </c>
      <c r="D659" s="118">
        <v>288</v>
      </c>
    </row>
    <row r="660" spans="1:4" ht="15.75" thickBot="1" x14ac:dyDescent="0.3">
      <c r="A660" s="118" t="s">
        <v>1768</v>
      </c>
      <c r="B660" s="118">
        <v>47</v>
      </c>
      <c r="C660" s="118" t="s">
        <v>1371</v>
      </c>
      <c r="D660" s="118">
        <v>318</v>
      </c>
    </row>
    <row r="661" spans="1:4" ht="15.75" thickBot="1" x14ac:dyDescent="0.3">
      <c r="A661" s="118" t="s">
        <v>1768</v>
      </c>
      <c r="B661" s="118">
        <v>47</v>
      </c>
      <c r="C661" s="118" t="s">
        <v>1372</v>
      </c>
      <c r="D661" s="118">
        <v>541</v>
      </c>
    </row>
    <row r="662" spans="1:4" ht="15.75" thickBot="1" x14ac:dyDescent="0.3">
      <c r="A662" s="118" t="s">
        <v>1768</v>
      </c>
      <c r="B662" s="118">
        <v>47</v>
      </c>
      <c r="C662" s="118" t="s">
        <v>1782</v>
      </c>
      <c r="D662" s="118">
        <v>545</v>
      </c>
    </row>
    <row r="663" spans="1:4" ht="15.75" thickBot="1" x14ac:dyDescent="0.3">
      <c r="A663" s="118" t="s">
        <v>1768</v>
      </c>
      <c r="B663" s="118">
        <v>47</v>
      </c>
      <c r="C663" s="118" t="s">
        <v>1373</v>
      </c>
      <c r="D663" s="118">
        <v>551</v>
      </c>
    </row>
    <row r="664" spans="1:4" ht="15.75" thickBot="1" x14ac:dyDescent="0.3">
      <c r="A664" s="118" t="s">
        <v>1768</v>
      </c>
      <c r="B664" s="118">
        <v>47</v>
      </c>
      <c r="C664" s="118" t="s">
        <v>1374</v>
      </c>
      <c r="D664" s="118">
        <v>555</v>
      </c>
    </row>
    <row r="665" spans="1:4" ht="15.75" thickBot="1" x14ac:dyDescent="0.3">
      <c r="A665" s="118" t="s">
        <v>1768</v>
      </c>
      <c r="B665" s="118">
        <v>47</v>
      </c>
      <c r="C665" s="118" t="s">
        <v>1375</v>
      </c>
      <c r="D665" s="118">
        <v>570</v>
      </c>
    </row>
    <row r="666" spans="1:4" ht="15.75" thickBot="1" x14ac:dyDescent="0.3">
      <c r="A666" s="118" t="s">
        <v>1768</v>
      </c>
      <c r="B666" s="118">
        <v>47</v>
      </c>
      <c r="C666" s="118" t="s">
        <v>1376</v>
      </c>
      <c r="D666" s="118">
        <v>605</v>
      </c>
    </row>
    <row r="667" spans="1:4" ht="15.75" thickBot="1" x14ac:dyDescent="0.3">
      <c r="A667" s="118" t="s">
        <v>1768</v>
      </c>
      <c r="B667" s="118">
        <v>47</v>
      </c>
      <c r="C667" s="118" t="s">
        <v>1377</v>
      </c>
      <c r="D667" s="118">
        <v>660</v>
      </c>
    </row>
    <row r="668" spans="1:4" ht="15.75" thickBot="1" x14ac:dyDescent="0.3">
      <c r="A668" s="118" t="s">
        <v>1768</v>
      </c>
      <c r="B668" s="118">
        <v>47</v>
      </c>
      <c r="C668" s="118" t="s">
        <v>1082</v>
      </c>
      <c r="D668" s="118">
        <v>675</v>
      </c>
    </row>
    <row r="669" spans="1:4" ht="15.75" thickBot="1" x14ac:dyDescent="0.3">
      <c r="A669" s="118" t="s">
        <v>1768</v>
      </c>
      <c r="B669" s="118">
        <v>47</v>
      </c>
      <c r="C669" s="118" t="s">
        <v>1378</v>
      </c>
      <c r="D669" s="118">
        <v>692</v>
      </c>
    </row>
    <row r="670" spans="1:4" ht="15.75" thickBot="1" x14ac:dyDescent="0.3">
      <c r="A670" s="118" t="s">
        <v>1768</v>
      </c>
      <c r="B670" s="118">
        <v>47</v>
      </c>
      <c r="C670" s="118" t="s">
        <v>1379</v>
      </c>
      <c r="D670" s="118">
        <v>703</v>
      </c>
    </row>
    <row r="671" spans="1:4" ht="15.75" thickBot="1" x14ac:dyDescent="0.3">
      <c r="A671" s="118" t="s">
        <v>1768</v>
      </c>
      <c r="B671" s="118">
        <v>47</v>
      </c>
      <c r="C671" s="118" t="s">
        <v>1380</v>
      </c>
      <c r="D671" s="118">
        <v>707</v>
      </c>
    </row>
    <row r="672" spans="1:4" ht="15.75" thickBot="1" x14ac:dyDescent="0.3">
      <c r="A672" s="118" t="s">
        <v>1768</v>
      </c>
      <c r="B672" s="118">
        <v>47</v>
      </c>
      <c r="C672" s="118" t="s">
        <v>1381</v>
      </c>
      <c r="D672" s="118">
        <v>745</v>
      </c>
    </row>
    <row r="673" spans="1:4" ht="15.75" thickBot="1" x14ac:dyDescent="0.3">
      <c r="A673" s="118" t="s">
        <v>1768</v>
      </c>
      <c r="B673" s="118">
        <v>47</v>
      </c>
      <c r="C673" s="118" t="s">
        <v>1382</v>
      </c>
      <c r="D673" s="118">
        <v>798</v>
      </c>
    </row>
    <row r="674" spans="1:4" ht="15.75" thickBot="1" x14ac:dyDescent="0.3">
      <c r="A674" s="118" t="s">
        <v>1768</v>
      </c>
      <c r="B674" s="118">
        <v>47</v>
      </c>
      <c r="C674" s="118" t="s">
        <v>2560</v>
      </c>
      <c r="D674" s="118">
        <v>460</v>
      </c>
    </row>
    <row r="675" spans="1:4" ht="15.75" thickBot="1" x14ac:dyDescent="0.3">
      <c r="A675" s="118" t="s">
        <v>1768</v>
      </c>
      <c r="B675" s="118">
        <v>47</v>
      </c>
      <c r="C675" s="118" t="s">
        <v>2561</v>
      </c>
      <c r="D675" s="118">
        <v>720</v>
      </c>
    </row>
    <row r="676" spans="1:4" ht="15.75" thickBot="1" x14ac:dyDescent="0.3">
      <c r="A676" s="118" t="s">
        <v>1768</v>
      </c>
      <c r="B676" s="118">
        <v>47</v>
      </c>
      <c r="C676" s="118" t="s">
        <v>2562</v>
      </c>
      <c r="D676" s="118">
        <v>960</v>
      </c>
    </row>
    <row r="677" spans="1:4" ht="15.75" thickBot="1" x14ac:dyDescent="0.3">
      <c r="A677" s="118" t="s">
        <v>1768</v>
      </c>
      <c r="B677" s="118">
        <v>47</v>
      </c>
      <c r="C677" s="118" t="s">
        <v>2563</v>
      </c>
      <c r="D677" s="118">
        <v>980</v>
      </c>
    </row>
    <row r="678" spans="1:4" ht="15.75" thickBot="1" x14ac:dyDescent="0.3">
      <c r="A678" s="10" t="s">
        <v>1769</v>
      </c>
      <c r="B678" s="10">
        <v>50</v>
      </c>
      <c r="C678" s="10" t="s">
        <v>1383</v>
      </c>
      <c r="D678" s="10">
        <v>1</v>
      </c>
    </row>
    <row r="679" spans="1:4" ht="15.75" thickBot="1" x14ac:dyDescent="0.3">
      <c r="A679" s="10" t="s">
        <v>1769</v>
      </c>
      <c r="B679" s="10">
        <v>50</v>
      </c>
      <c r="C679" s="10" t="s">
        <v>1384</v>
      </c>
      <c r="D679" s="10">
        <v>6</v>
      </c>
    </row>
    <row r="680" spans="1:4" ht="15.75" thickBot="1" x14ac:dyDescent="0.3">
      <c r="A680" s="10" t="s">
        <v>1769</v>
      </c>
      <c r="B680" s="10">
        <v>50</v>
      </c>
      <c r="C680" s="10" t="s">
        <v>1385</v>
      </c>
      <c r="D680" s="10">
        <v>110</v>
      </c>
    </row>
    <row r="681" spans="1:4" ht="15.75" thickBot="1" x14ac:dyDescent="0.3">
      <c r="A681" s="10" t="s">
        <v>1769</v>
      </c>
      <c r="B681" s="10">
        <v>50</v>
      </c>
      <c r="C681" s="10" t="s">
        <v>1386</v>
      </c>
      <c r="D681" s="10">
        <v>124</v>
      </c>
    </row>
    <row r="682" spans="1:4" ht="15.75" thickBot="1" x14ac:dyDescent="0.3">
      <c r="A682" s="10" t="s">
        <v>1769</v>
      </c>
      <c r="B682" s="10">
        <v>50</v>
      </c>
      <c r="C682" s="10" t="s">
        <v>1387</v>
      </c>
      <c r="D682" s="10">
        <v>150</v>
      </c>
    </row>
    <row r="683" spans="1:4" ht="15.75" thickBot="1" x14ac:dyDescent="0.3">
      <c r="A683" s="10" t="s">
        <v>1769</v>
      </c>
      <c r="B683" s="10">
        <v>50</v>
      </c>
      <c r="C683" s="10" t="s">
        <v>1388</v>
      </c>
      <c r="D683" s="10">
        <v>223</v>
      </c>
    </row>
    <row r="684" spans="1:4" ht="15.75" thickBot="1" x14ac:dyDescent="0.3">
      <c r="A684" s="10" t="s">
        <v>1769</v>
      </c>
      <c r="B684" s="10">
        <v>50</v>
      </c>
      <c r="C684" s="10" t="s">
        <v>1389</v>
      </c>
      <c r="D684" s="10">
        <v>226</v>
      </c>
    </row>
    <row r="685" spans="1:4" ht="15.75" thickBot="1" x14ac:dyDescent="0.3">
      <c r="A685" s="10" t="s">
        <v>1769</v>
      </c>
      <c r="B685" s="10">
        <v>50</v>
      </c>
      <c r="C685" s="10" t="s">
        <v>1390</v>
      </c>
      <c r="D685" s="10">
        <v>245</v>
      </c>
    </row>
    <row r="686" spans="1:4" ht="15.75" thickBot="1" x14ac:dyDescent="0.3">
      <c r="A686" s="10" t="s">
        <v>1769</v>
      </c>
      <c r="B686" s="10">
        <v>50</v>
      </c>
      <c r="C686" s="10" t="s">
        <v>1391</v>
      </c>
      <c r="D686" s="10">
        <v>251</v>
      </c>
    </row>
    <row r="687" spans="1:4" ht="15.75" thickBot="1" x14ac:dyDescent="0.3">
      <c r="A687" s="10" t="s">
        <v>1769</v>
      </c>
      <c r="B687" s="10">
        <v>50</v>
      </c>
      <c r="C687" s="10" t="s">
        <v>1392</v>
      </c>
      <c r="D687" s="10">
        <v>270</v>
      </c>
    </row>
    <row r="688" spans="1:4" ht="15.75" thickBot="1" x14ac:dyDescent="0.3">
      <c r="A688" s="10" t="s">
        <v>1769</v>
      </c>
      <c r="B688" s="10">
        <v>50</v>
      </c>
      <c r="C688" s="10" t="s">
        <v>1393</v>
      </c>
      <c r="D688" s="10">
        <v>287</v>
      </c>
    </row>
    <row r="689" spans="1:4" ht="15.75" thickBot="1" x14ac:dyDescent="0.3">
      <c r="A689" s="10" t="s">
        <v>1769</v>
      </c>
      <c r="B689" s="10">
        <v>50</v>
      </c>
      <c r="C689" s="10" t="s">
        <v>804</v>
      </c>
      <c r="D689" s="10">
        <v>313</v>
      </c>
    </row>
    <row r="690" spans="1:4" ht="15.75" thickBot="1" x14ac:dyDescent="0.3">
      <c r="A690" s="10" t="s">
        <v>1769</v>
      </c>
      <c r="B690" s="10">
        <v>50</v>
      </c>
      <c r="C690" s="10" t="s">
        <v>1371</v>
      </c>
      <c r="D690" s="10">
        <v>318</v>
      </c>
    </row>
    <row r="691" spans="1:4" ht="15.75" thickBot="1" x14ac:dyDescent="0.3">
      <c r="A691" s="10" t="s">
        <v>1769</v>
      </c>
      <c r="B691" s="10">
        <v>50</v>
      </c>
      <c r="C691" s="10" t="s">
        <v>1394</v>
      </c>
      <c r="D691" s="10">
        <v>325</v>
      </c>
    </row>
    <row r="692" spans="1:4" ht="15.75" thickBot="1" x14ac:dyDescent="0.3">
      <c r="A692" s="10" t="s">
        <v>1769</v>
      </c>
      <c r="B692" s="10">
        <v>50</v>
      </c>
      <c r="C692" s="10" t="s">
        <v>1395</v>
      </c>
      <c r="D692" s="10">
        <v>330</v>
      </c>
    </row>
    <row r="693" spans="1:4" ht="15.75" thickBot="1" x14ac:dyDescent="0.3">
      <c r="A693" s="10" t="s">
        <v>1769</v>
      </c>
      <c r="B693" s="10">
        <v>50</v>
      </c>
      <c r="C693" s="10" t="s">
        <v>1396</v>
      </c>
      <c r="D693" s="10">
        <v>350</v>
      </c>
    </row>
    <row r="694" spans="1:4" ht="15.75" thickBot="1" x14ac:dyDescent="0.3">
      <c r="A694" s="10" t="s">
        <v>1769</v>
      </c>
      <c r="B694" s="10">
        <v>50</v>
      </c>
      <c r="C694" s="10" t="s">
        <v>1397</v>
      </c>
      <c r="D694" s="10">
        <v>370</v>
      </c>
    </row>
    <row r="695" spans="1:4" ht="15.75" thickBot="1" x14ac:dyDescent="0.3">
      <c r="A695" s="10" t="s">
        <v>1769</v>
      </c>
      <c r="B695" s="10">
        <v>50</v>
      </c>
      <c r="C695" s="10" t="s">
        <v>1398</v>
      </c>
      <c r="D695" s="10">
        <v>400</v>
      </c>
    </row>
    <row r="696" spans="1:4" ht="15.75" thickBot="1" x14ac:dyDescent="0.3">
      <c r="A696" s="10" t="s">
        <v>1769</v>
      </c>
      <c r="B696" s="10">
        <v>50</v>
      </c>
      <c r="C696" s="10" t="s">
        <v>1399</v>
      </c>
      <c r="D696" s="10">
        <v>450</v>
      </c>
    </row>
    <row r="697" spans="1:4" ht="15.75" thickBot="1" x14ac:dyDescent="0.3">
      <c r="A697" s="10" t="s">
        <v>1769</v>
      </c>
      <c r="B697" s="10">
        <v>50</v>
      </c>
      <c r="C697" s="10" t="s">
        <v>1400</v>
      </c>
      <c r="D697" s="10">
        <v>568</v>
      </c>
    </row>
    <row r="698" spans="1:4" ht="15.75" thickBot="1" x14ac:dyDescent="0.3">
      <c r="A698" s="10" t="s">
        <v>1769</v>
      </c>
      <c r="B698" s="10">
        <v>50</v>
      </c>
      <c r="C698" s="10" t="s">
        <v>1401</v>
      </c>
      <c r="D698" s="10">
        <v>573</v>
      </c>
    </row>
    <row r="699" spans="1:4" ht="15.75" thickBot="1" x14ac:dyDescent="0.3">
      <c r="A699" s="10" t="s">
        <v>1769</v>
      </c>
      <c r="B699" s="10">
        <v>50</v>
      </c>
      <c r="C699" s="10" t="s">
        <v>1402</v>
      </c>
      <c r="D699" s="10">
        <v>577</v>
      </c>
    </row>
    <row r="700" spans="1:4" ht="15.75" thickBot="1" x14ac:dyDescent="0.3">
      <c r="A700" s="10" t="s">
        <v>1769</v>
      </c>
      <c r="B700" s="10">
        <v>50</v>
      </c>
      <c r="C700" s="10" t="s">
        <v>1099</v>
      </c>
      <c r="D700" s="10">
        <v>590</v>
      </c>
    </row>
    <row r="701" spans="1:4" ht="15.75" thickBot="1" x14ac:dyDescent="0.3">
      <c r="A701" s="10" t="s">
        <v>1769</v>
      </c>
      <c r="B701" s="10">
        <v>50</v>
      </c>
      <c r="C701" s="10" t="s">
        <v>1403</v>
      </c>
      <c r="D701" s="10">
        <v>606</v>
      </c>
    </row>
    <row r="702" spans="1:4" ht="15.75" thickBot="1" x14ac:dyDescent="0.3">
      <c r="A702" s="10" t="s">
        <v>1769</v>
      </c>
      <c r="B702" s="10">
        <v>50</v>
      </c>
      <c r="C702" s="10" t="s">
        <v>1404</v>
      </c>
      <c r="D702" s="10">
        <v>680</v>
      </c>
    </row>
    <row r="703" spans="1:4" ht="15.75" thickBot="1" x14ac:dyDescent="0.3">
      <c r="A703" s="10" t="s">
        <v>1769</v>
      </c>
      <c r="B703" s="10">
        <v>50</v>
      </c>
      <c r="C703" s="10" t="s">
        <v>1758</v>
      </c>
      <c r="D703" s="10">
        <v>683</v>
      </c>
    </row>
    <row r="704" spans="1:4" ht="15.75" thickBot="1" x14ac:dyDescent="0.3">
      <c r="A704" s="10" t="s">
        <v>1769</v>
      </c>
      <c r="B704" s="10">
        <v>50</v>
      </c>
      <c r="C704" s="10" t="s">
        <v>1405</v>
      </c>
      <c r="D704" s="10">
        <v>686</v>
      </c>
    </row>
    <row r="705" spans="1:4" ht="15.75" thickBot="1" x14ac:dyDescent="0.3">
      <c r="A705" s="10" t="s">
        <v>1769</v>
      </c>
      <c r="B705" s="10">
        <v>50</v>
      </c>
      <c r="C705" s="10" t="s">
        <v>1151</v>
      </c>
      <c r="D705" s="10">
        <v>689</v>
      </c>
    </row>
    <row r="706" spans="1:4" ht="15.75" thickBot="1" x14ac:dyDescent="0.3">
      <c r="A706" s="10" t="s">
        <v>1769</v>
      </c>
      <c r="B706" s="10">
        <v>50</v>
      </c>
      <c r="C706" s="10" t="s">
        <v>1406</v>
      </c>
      <c r="D706" s="10">
        <v>711</v>
      </c>
    </row>
    <row r="707" spans="1:4" ht="15.75" thickBot="1" x14ac:dyDescent="0.3">
      <c r="A707" s="10" t="s">
        <v>824</v>
      </c>
      <c r="B707" s="10">
        <v>52</v>
      </c>
      <c r="C707" s="10" t="s">
        <v>1787</v>
      </c>
      <c r="D707" s="10">
        <v>1</v>
      </c>
    </row>
    <row r="708" spans="1:4" ht="15.75" thickBot="1" x14ac:dyDescent="0.3">
      <c r="A708" s="10" t="s">
        <v>824</v>
      </c>
      <c r="B708" s="10">
        <v>52</v>
      </c>
      <c r="C708" s="10" t="s">
        <v>1407</v>
      </c>
      <c r="D708" s="10">
        <v>19</v>
      </c>
    </row>
    <row r="709" spans="1:4" ht="15.75" thickBot="1" x14ac:dyDescent="0.3">
      <c r="A709" s="10" t="s">
        <v>824</v>
      </c>
      <c r="B709" s="10">
        <v>52</v>
      </c>
      <c r="C709" s="10" t="s">
        <v>1408</v>
      </c>
      <c r="D709" s="10">
        <v>22</v>
      </c>
    </row>
    <row r="710" spans="1:4" ht="15.75" thickBot="1" x14ac:dyDescent="0.3">
      <c r="A710" s="10" t="s">
        <v>824</v>
      </c>
      <c r="B710" s="10">
        <v>52</v>
      </c>
      <c r="C710" s="10" t="s">
        <v>1409</v>
      </c>
      <c r="D710" s="10">
        <v>36</v>
      </c>
    </row>
    <row r="711" spans="1:4" ht="15.75" thickBot="1" x14ac:dyDescent="0.3">
      <c r="A711" s="10" t="s">
        <v>824</v>
      </c>
      <c r="B711" s="10">
        <v>52</v>
      </c>
      <c r="C711" s="10" t="s">
        <v>1410</v>
      </c>
      <c r="D711" s="10">
        <v>51</v>
      </c>
    </row>
    <row r="712" spans="1:4" ht="15.75" thickBot="1" x14ac:dyDescent="0.3">
      <c r="A712" s="10" t="s">
        <v>824</v>
      </c>
      <c r="B712" s="10">
        <v>52</v>
      </c>
      <c r="C712" s="10" t="s">
        <v>1411</v>
      </c>
      <c r="D712" s="10">
        <v>79</v>
      </c>
    </row>
    <row r="713" spans="1:4" ht="15.75" thickBot="1" x14ac:dyDescent="0.3">
      <c r="A713" s="10" t="s">
        <v>824</v>
      </c>
      <c r="B713" s="10">
        <v>52</v>
      </c>
      <c r="C713" s="10" t="s">
        <v>946</v>
      </c>
      <c r="D713" s="10">
        <v>83</v>
      </c>
    </row>
    <row r="714" spans="1:4" ht="15.75" thickBot="1" x14ac:dyDescent="0.3">
      <c r="A714" s="10" t="s">
        <v>824</v>
      </c>
      <c r="B714" s="10">
        <v>52</v>
      </c>
      <c r="C714" s="10" t="s">
        <v>1412</v>
      </c>
      <c r="D714" s="10">
        <v>110</v>
      </c>
    </row>
    <row r="715" spans="1:4" ht="15.75" thickBot="1" x14ac:dyDescent="0.3">
      <c r="A715" s="10" t="s">
        <v>824</v>
      </c>
      <c r="B715" s="10">
        <v>52</v>
      </c>
      <c r="C715" s="10" t="s">
        <v>1413</v>
      </c>
      <c r="D715" s="10">
        <v>203</v>
      </c>
    </row>
    <row r="716" spans="1:4" ht="15.75" thickBot="1" x14ac:dyDescent="0.3">
      <c r="A716" s="10" t="s">
        <v>824</v>
      </c>
      <c r="B716" s="10">
        <v>52</v>
      </c>
      <c r="C716" s="10" t="s">
        <v>1414</v>
      </c>
      <c r="D716" s="10">
        <v>207</v>
      </c>
    </row>
    <row r="717" spans="1:4" ht="15.75" thickBot="1" x14ac:dyDescent="0.3">
      <c r="A717" s="10" t="s">
        <v>824</v>
      </c>
      <c r="B717" s="10">
        <v>52</v>
      </c>
      <c r="C717" s="10" t="s">
        <v>1415</v>
      </c>
      <c r="D717" s="10">
        <v>210</v>
      </c>
    </row>
    <row r="718" spans="1:4" ht="15.75" thickBot="1" x14ac:dyDescent="0.3">
      <c r="A718" s="10" t="s">
        <v>824</v>
      </c>
      <c r="B718" s="10">
        <v>52</v>
      </c>
      <c r="C718" s="10" t="s">
        <v>907</v>
      </c>
      <c r="D718" s="10">
        <v>215</v>
      </c>
    </row>
    <row r="719" spans="1:4" ht="15.75" thickBot="1" x14ac:dyDescent="0.3">
      <c r="A719" s="10" t="s">
        <v>824</v>
      </c>
      <c r="B719" s="10">
        <v>52</v>
      </c>
      <c r="C719" s="10" t="s">
        <v>1416</v>
      </c>
      <c r="D719" s="10">
        <v>224</v>
      </c>
    </row>
    <row r="720" spans="1:4" ht="15.75" thickBot="1" x14ac:dyDescent="0.3">
      <c r="A720" s="10" t="s">
        <v>824</v>
      </c>
      <c r="B720" s="10">
        <v>52</v>
      </c>
      <c r="C720" s="10" t="s">
        <v>1417</v>
      </c>
      <c r="D720" s="10">
        <v>227</v>
      </c>
    </row>
    <row r="721" spans="1:4" ht="15.75" thickBot="1" x14ac:dyDescent="0.3">
      <c r="A721" s="10" t="s">
        <v>824</v>
      </c>
      <c r="B721" s="10">
        <v>52</v>
      </c>
      <c r="C721" s="10" t="s">
        <v>1418</v>
      </c>
      <c r="D721" s="10">
        <v>233</v>
      </c>
    </row>
    <row r="722" spans="1:4" ht="15.75" thickBot="1" x14ac:dyDescent="0.3">
      <c r="A722" s="10" t="s">
        <v>824</v>
      </c>
      <c r="B722" s="10">
        <v>52</v>
      </c>
      <c r="C722" s="10" t="s">
        <v>1419</v>
      </c>
      <c r="D722" s="10">
        <v>240</v>
      </c>
    </row>
    <row r="723" spans="1:4" ht="15.75" thickBot="1" x14ac:dyDescent="0.3">
      <c r="A723" s="10" t="s">
        <v>824</v>
      </c>
      <c r="B723" s="10">
        <v>52</v>
      </c>
      <c r="C723" s="10" t="s">
        <v>1420</v>
      </c>
      <c r="D723" s="10">
        <v>250</v>
      </c>
    </row>
    <row r="724" spans="1:4" ht="15.75" thickBot="1" x14ac:dyDescent="0.3">
      <c r="A724" s="10" t="s">
        <v>824</v>
      </c>
      <c r="B724" s="10">
        <v>52</v>
      </c>
      <c r="C724" s="10" t="s">
        <v>1421</v>
      </c>
      <c r="D724" s="10">
        <v>254</v>
      </c>
    </row>
    <row r="725" spans="1:4" ht="15.75" thickBot="1" x14ac:dyDescent="0.3">
      <c r="A725" s="10" t="s">
        <v>824</v>
      </c>
      <c r="B725" s="10">
        <v>52</v>
      </c>
      <c r="C725" s="10" t="s">
        <v>1422</v>
      </c>
      <c r="D725" s="10">
        <v>256</v>
      </c>
    </row>
    <row r="726" spans="1:4" ht="15.75" thickBot="1" x14ac:dyDescent="0.3">
      <c r="A726" s="10" t="s">
        <v>824</v>
      </c>
      <c r="B726" s="10">
        <v>52</v>
      </c>
      <c r="C726" s="10" t="s">
        <v>1423</v>
      </c>
      <c r="D726" s="10">
        <v>258</v>
      </c>
    </row>
    <row r="727" spans="1:4" ht="15.75" thickBot="1" x14ac:dyDescent="0.3">
      <c r="A727" s="10" t="s">
        <v>824</v>
      </c>
      <c r="B727" s="10">
        <v>52</v>
      </c>
      <c r="C727" s="10" t="s">
        <v>1111</v>
      </c>
      <c r="D727" s="10">
        <v>260</v>
      </c>
    </row>
    <row r="728" spans="1:4" ht="15.75" thickBot="1" x14ac:dyDescent="0.3">
      <c r="A728" s="10" t="s">
        <v>824</v>
      </c>
      <c r="B728" s="10">
        <v>52</v>
      </c>
      <c r="C728" s="10" t="s">
        <v>1424</v>
      </c>
      <c r="D728" s="10">
        <v>287</v>
      </c>
    </row>
    <row r="729" spans="1:4" ht="15.75" thickBot="1" x14ac:dyDescent="0.3">
      <c r="A729" s="10" t="s">
        <v>824</v>
      </c>
      <c r="B729" s="10">
        <v>52</v>
      </c>
      <c r="C729" s="10" t="s">
        <v>1425</v>
      </c>
      <c r="D729" s="10">
        <v>317</v>
      </c>
    </row>
    <row r="730" spans="1:4" ht="15.75" thickBot="1" x14ac:dyDescent="0.3">
      <c r="A730" s="10" t="s">
        <v>824</v>
      </c>
      <c r="B730" s="10">
        <v>52</v>
      </c>
      <c r="C730" s="10" t="s">
        <v>1426</v>
      </c>
      <c r="D730" s="10">
        <v>320</v>
      </c>
    </row>
    <row r="731" spans="1:4" ht="15.75" thickBot="1" x14ac:dyDescent="0.3">
      <c r="A731" s="10" t="s">
        <v>824</v>
      </c>
      <c r="B731" s="10">
        <v>52</v>
      </c>
      <c r="C731" s="10" t="s">
        <v>1427</v>
      </c>
      <c r="D731" s="10">
        <v>323</v>
      </c>
    </row>
    <row r="732" spans="1:4" ht="15.75" thickBot="1" x14ac:dyDescent="0.3">
      <c r="A732" s="10" t="s">
        <v>824</v>
      </c>
      <c r="B732" s="10">
        <v>52</v>
      </c>
      <c r="C732" s="10" t="s">
        <v>1428</v>
      </c>
      <c r="D732" s="10">
        <v>352</v>
      </c>
    </row>
    <row r="733" spans="1:4" ht="15.75" thickBot="1" x14ac:dyDescent="0.3">
      <c r="A733" s="10" t="s">
        <v>824</v>
      </c>
      <c r="B733" s="10">
        <v>52</v>
      </c>
      <c r="C733" s="10" t="s">
        <v>1429</v>
      </c>
      <c r="D733" s="10">
        <v>354</v>
      </c>
    </row>
    <row r="734" spans="1:4" ht="15.75" thickBot="1" x14ac:dyDescent="0.3">
      <c r="A734" s="10" t="s">
        <v>824</v>
      </c>
      <c r="B734" s="10">
        <v>52</v>
      </c>
      <c r="C734" s="10" t="s">
        <v>1430</v>
      </c>
      <c r="D734" s="10">
        <v>356</v>
      </c>
    </row>
    <row r="735" spans="1:4" ht="15.75" thickBot="1" x14ac:dyDescent="0.3">
      <c r="A735" s="10" t="s">
        <v>824</v>
      </c>
      <c r="B735" s="10">
        <v>52</v>
      </c>
      <c r="C735" s="10" t="s">
        <v>1431</v>
      </c>
      <c r="D735" s="10">
        <v>378</v>
      </c>
    </row>
    <row r="736" spans="1:4" ht="15.75" thickBot="1" x14ac:dyDescent="0.3">
      <c r="A736" s="10" t="s">
        <v>824</v>
      </c>
      <c r="B736" s="10">
        <v>52</v>
      </c>
      <c r="C736" s="10" t="s">
        <v>1432</v>
      </c>
      <c r="D736" s="10">
        <v>381</v>
      </c>
    </row>
    <row r="737" spans="1:4" ht="15.75" thickBot="1" x14ac:dyDescent="0.3">
      <c r="A737" s="10" t="s">
        <v>824</v>
      </c>
      <c r="B737" s="10">
        <v>52</v>
      </c>
      <c r="C737" s="10" t="s">
        <v>1433</v>
      </c>
      <c r="D737" s="10">
        <v>385</v>
      </c>
    </row>
    <row r="738" spans="1:4" ht="15.75" thickBot="1" x14ac:dyDescent="0.3">
      <c r="A738" s="10" t="s">
        <v>824</v>
      </c>
      <c r="B738" s="10">
        <v>52</v>
      </c>
      <c r="C738" s="10" t="s">
        <v>1434</v>
      </c>
      <c r="D738" s="10">
        <v>390</v>
      </c>
    </row>
    <row r="739" spans="1:4" ht="15.75" thickBot="1" x14ac:dyDescent="0.3">
      <c r="A739" s="10" t="s">
        <v>824</v>
      </c>
      <c r="B739" s="10">
        <v>52</v>
      </c>
      <c r="C739" s="10" t="s">
        <v>817</v>
      </c>
      <c r="D739" s="10">
        <v>399</v>
      </c>
    </row>
    <row r="740" spans="1:4" ht="15.75" thickBot="1" x14ac:dyDescent="0.3">
      <c r="A740" s="10" t="s">
        <v>824</v>
      </c>
      <c r="B740" s="10">
        <v>52</v>
      </c>
      <c r="C740" s="10" t="s">
        <v>1435</v>
      </c>
      <c r="D740" s="10">
        <v>405</v>
      </c>
    </row>
    <row r="741" spans="1:4" ht="15.75" thickBot="1" x14ac:dyDescent="0.3">
      <c r="A741" s="10" t="s">
        <v>824</v>
      </c>
      <c r="B741" s="10">
        <v>52</v>
      </c>
      <c r="C741" s="10" t="s">
        <v>1436</v>
      </c>
      <c r="D741" s="10">
        <v>411</v>
      </c>
    </row>
    <row r="742" spans="1:4" ht="15.75" thickBot="1" x14ac:dyDescent="0.3">
      <c r="A742" s="10" t="s">
        <v>824</v>
      </c>
      <c r="B742" s="10">
        <v>52</v>
      </c>
      <c r="C742" s="10" t="s">
        <v>1437</v>
      </c>
      <c r="D742" s="10">
        <v>418</v>
      </c>
    </row>
    <row r="743" spans="1:4" ht="15.75" thickBot="1" x14ac:dyDescent="0.3">
      <c r="A743" s="10" t="s">
        <v>824</v>
      </c>
      <c r="B743" s="10">
        <v>52</v>
      </c>
      <c r="C743" s="10" t="s">
        <v>1438</v>
      </c>
      <c r="D743" s="10">
        <v>427</v>
      </c>
    </row>
    <row r="744" spans="1:4" ht="15.75" thickBot="1" x14ac:dyDescent="0.3">
      <c r="A744" s="10" t="s">
        <v>824</v>
      </c>
      <c r="B744" s="10">
        <v>52</v>
      </c>
      <c r="C744" s="10" t="s">
        <v>1439</v>
      </c>
      <c r="D744" s="10">
        <v>435</v>
      </c>
    </row>
    <row r="745" spans="1:4" ht="15.75" thickBot="1" x14ac:dyDescent="0.3">
      <c r="A745" s="10" t="s">
        <v>824</v>
      </c>
      <c r="B745" s="10">
        <v>52</v>
      </c>
      <c r="C745" s="10" t="s">
        <v>1233</v>
      </c>
      <c r="D745" s="10">
        <v>473</v>
      </c>
    </row>
    <row r="746" spans="1:4" ht="15.75" thickBot="1" x14ac:dyDescent="0.3">
      <c r="A746" s="10" t="s">
        <v>824</v>
      </c>
      <c r="B746" s="10">
        <v>52</v>
      </c>
      <c r="C746" s="10" t="s">
        <v>1440</v>
      </c>
      <c r="D746" s="10">
        <v>490</v>
      </c>
    </row>
    <row r="747" spans="1:4" ht="15.75" thickBot="1" x14ac:dyDescent="0.3">
      <c r="A747" s="10" t="s">
        <v>824</v>
      </c>
      <c r="B747" s="10">
        <v>52</v>
      </c>
      <c r="C747" s="10" t="s">
        <v>1441</v>
      </c>
      <c r="D747" s="10">
        <v>506</v>
      </c>
    </row>
    <row r="748" spans="1:4" ht="15.75" thickBot="1" x14ac:dyDescent="0.3">
      <c r="A748" s="10" t="s">
        <v>824</v>
      </c>
      <c r="B748" s="10">
        <v>52</v>
      </c>
      <c r="C748" s="10" t="s">
        <v>1442</v>
      </c>
      <c r="D748" s="10">
        <v>520</v>
      </c>
    </row>
    <row r="749" spans="1:4" ht="15.75" thickBot="1" x14ac:dyDescent="0.3">
      <c r="A749" s="10" t="s">
        <v>824</v>
      </c>
      <c r="B749" s="10">
        <v>52</v>
      </c>
      <c r="C749" s="10" t="s">
        <v>1443</v>
      </c>
      <c r="D749" s="10">
        <v>540</v>
      </c>
    </row>
    <row r="750" spans="1:4" ht="15.75" thickBot="1" x14ac:dyDescent="0.3">
      <c r="A750" s="10" t="s">
        <v>824</v>
      </c>
      <c r="B750" s="10">
        <v>52</v>
      </c>
      <c r="C750" s="10" t="s">
        <v>1444</v>
      </c>
      <c r="D750" s="10">
        <v>560</v>
      </c>
    </row>
    <row r="751" spans="1:4" ht="15.75" thickBot="1" x14ac:dyDescent="0.3">
      <c r="A751" s="10" t="s">
        <v>824</v>
      </c>
      <c r="B751" s="10">
        <v>52</v>
      </c>
      <c r="C751" s="10" t="s">
        <v>1445</v>
      </c>
      <c r="D751" s="10">
        <v>565</v>
      </c>
    </row>
    <row r="752" spans="1:4" ht="15.75" thickBot="1" x14ac:dyDescent="0.3">
      <c r="A752" s="10" t="s">
        <v>824</v>
      </c>
      <c r="B752" s="10">
        <v>52</v>
      </c>
      <c r="C752" s="10" t="s">
        <v>1446</v>
      </c>
      <c r="D752" s="10">
        <v>573</v>
      </c>
    </row>
    <row r="753" spans="1:4" ht="15.75" thickBot="1" x14ac:dyDescent="0.3">
      <c r="A753" s="10" t="s">
        <v>824</v>
      </c>
      <c r="B753" s="10">
        <v>52</v>
      </c>
      <c r="C753" s="10" t="s">
        <v>1447</v>
      </c>
      <c r="D753" s="10">
        <v>585</v>
      </c>
    </row>
    <row r="754" spans="1:4" ht="15.75" thickBot="1" x14ac:dyDescent="0.3">
      <c r="A754" s="10" t="s">
        <v>824</v>
      </c>
      <c r="B754" s="10">
        <v>52</v>
      </c>
      <c r="C754" s="10" t="s">
        <v>1250</v>
      </c>
      <c r="D754" s="10">
        <v>612</v>
      </c>
    </row>
    <row r="755" spans="1:4" ht="15.75" thickBot="1" x14ac:dyDescent="0.3">
      <c r="A755" s="10" t="s">
        <v>824</v>
      </c>
      <c r="B755" s="10">
        <v>52</v>
      </c>
      <c r="C755" s="10" t="s">
        <v>1448</v>
      </c>
      <c r="D755" s="10">
        <v>621</v>
      </c>
    </row>
    <row r="756" spans="1:4" ht="15.75" thickBot="1" x14ac:dyDescent="0.3">
      <c r="A756" s="10" t="s">
        <v>824</v>
      </c>
      <c r="B756" s="10">
        <v>52</v>
      </c>
      <c r="C756" s="10" t="s">
        <v>1449</v>
      </c>
      <c r="D756" s="10">
        <v>678</v>
      </c>
    </row>
    <row r="757" spans="1:4" ht="15.75" thickBot="1" x14ac:dyDescent="0.3">
      <c r="A757" s="10" t="s">
        <v>824</v>
      </c>
      <c r="B757" s="10">
        <v>52</v>
      </c>
      <c r="C757" s="10" t="s">
        <v>1450</v>
      </c>
      <c r="D757" s="10">
        <v>683</v>
      </c>
    </row>
    <row r="758" spans="1:4" ht="15.75" thickBot="1" x14ac:dyDescent="0.3">
      <c r="A758" s="10" t="s">
        <v>824</v>
      </c>
      <c r="B758" s="10">
        <v>52</v>
      </c>
      <c r="C758" s="10" t="s">
        <v>1251</v>
      </c>
      <c r="D758" s="10">
        <v>685</v>
      </c>
    </row>
    <row r="759" spans="1:4" ht="15.75" thickBot="1" x14ac:dyDescent="0.3">
      <c r="A759" s="10" t="s">
        <v>824</v>
      </c>
      <c r="B759" s="10">
        <v>52</v>
      </c>
      <c r="C759" s="10" t="s">
        <v>1451</v>
      </c>
      <c r="D759" s="10">
        <v>687</v>
      </c>
    </row>
    <row r="760" spans="1:4" ht="15.75" thickBot="1" x14ac:dyDescent="0.3">
      <c r="A760" s="10" t="s">
        <v>824</v>
      </c>
      <c r="B760" s="10">
        <v>52</v>
      </c>
      <c r="C760" s="10" t="s">
        <v>930</v>
      </c>
      <c r="D760" s="10">
        <v>693</v>
      </c>
    </row>
    <row r="761" spans="1:4" ht="15.75" thickBot="1" x14ac:dyDescent="0.3">
      <c r="A761" s="10" t="s">
        <v>824</v>
      </c>
      <c r="B761" s="10">
        <v>52</v>
      </c>
      <c r="C761" s="10" t="s">
        <v>1452</v>
      </c>
      <c r="D761" s="10">
        <v>694</v>
      </c>
    </row>
    <row r="762" spans="1:4" ht="15.75" thickBot="1" x14ac:dyDescent="0.3">
      <c r="A762" s="10" t="s">
        <v>824</v>
      </c>
      <c r="B762" s="10">
        <v>52</v>
      </c>
      <c r="C762" s="10" t="s">
        <v>852</v>
      </c>
      <c r="D762" s="10">
        <v>696</v>
      </c>
    </row>
    <row r="763" spans="1:4" ht="15.75" thickBot="1" x14ac:dyDescent="0.3">
      <c r="A763" s="10" t="s">
        <v>824</v>
      </c>
      <c r="B763" s="10">
        <v>52</v>
      </c>
      <c r="C763" s="10" t="s">
        <v>1453</v>
      </c>
      <c r="D763" s="10">
        <v>699</v>
      </c>
    </row>
    <row r="764" spans="1:4" ht="15.75" thickBot="1" x14ac:dyDescent="0.3">
      <c r="A764" s="10" t="s">
        <v>824</v>
      </c>
      <c r="B764" s="10">
        <v>52</v>
      </c>
      <c r="C764" s="10" t="s">
        <v>1454</v>
      </c>
      <c r="D764" s="10">
        <v>720</v>
      </c>
    </row>
    <row r="765" spans="1:4" ht="15.75" thickBot="1" x14ac:dyDescent="0.3">
      <c r="A765" s="10" t="s">
        <v>824</v>
      </c>
      <c r="B765" s="10">
        <v>52</v>
      </c>
      <c r="C765" s="10" t="s">
        <v>1455</v>
      </c>
      <c r="D765" s="10">
        <v>786</v>
      </c>
    </row>
    <row r="766" spans="1:4" ht="15.75" thickBot="1" x14ac:dyDescent="0.3">
      <c r="A766" s="10" t="s">
        <v>824</v>
      </c>
      <c r="B766" s="10">
        <v>52</v>
      </c>
      <c r="C766" s="10" t="s">
        <v>1456</v>
      </c>
      <c r="D766" s="10">
        <v>788</v>
      </c>
    </row>
    <row r="767" spans="1:4" ht="15.75" thickBot="1" x14ac:dyDescent="0.3">
      <c r="A767" s="10" t="s">
        <v>824</v>
      </c>
      <c r="B767" s="10">
        <v>52</v>
      </c>
      <c r="C767" s="10" t="s">
        <v>1457</v>
      </c>
      <c r="D767" s="10">
        <v>835</v>
      </c>
    </row>
    <row r="768" spans="1:4" ht="15.75" thickBot="1" x14ac:dyDescent="0.3">
      <c r="A768" s="10" t="s">
        <v>824</v>
      </c>
      <c r="B768" s="10">
        <v>52</v>
      </c>
      <c r="C768" s="10" t="s">
        <v>1458</v>
      </c>
      <c r="D768" s="10">
        <v>838</v>
      </c>
    </row>
    <row r="769" spans="1:4" ht="15.75" thickBot="1" x14ac:dyDescent="0.3">
      <c r="A769" s="10" t="s">
        <v>824</v>
      </c>
      <c r="B769" s="10">
        <v>52</v>
      </c>
      <c r="C769" s="10" t="s">
        <v>1459</v>
      </c>
      <c r="D769" s="10">
        <v>885</v>
      </c>
    </row>
    <row r="770" spans="1:4" ht="15.75" thickBot="1" x14ac:dyDescent="0.3">
      <c r="A770" s="10" t="s">
        <v>1781</v>
      </c>
      <c r="B770" s="10">
        <v>54</v>
      </c>
      <c r="C770" s="10" t="s">
        <v>1460</v>
      </c>
      <c r="D770" s="10">
        <v>1</v>
      </c>
    </row>
    <row r="771" spans="1:4" ht="15.75" thickBot="1" x14ac:dyDescent="0.3">
      <c r="A771" s="10" t="s">
        <v>1781</v>
      </c>
      <c r="B771" s="10">
        <v>54</v>
      </c>
      <c r="C771" s="10" t="s">
        <v>1461</v>
      </c>
      <c r="D771" s="10">
        <v>3</v>
      </c>
    </row>
    <row r="772" spans="1:4" ht="15.75" thickBot="1" x14ac:dyDescent="0.3">
      <c r="A772" s="10" t="s">
        <v>1781</v>
      </c>
      <c r="B772" s="10">
        <v>54</v>
      </c>
      <c r="C772" s="10" t="s">
        <v>1462</v>
      </c>
      <c r="D772" s="10">
        <v>51</v>
      </c>
    </row>
    <row r="773" spans="1:4" ht="15.75" thickBot="1" x14ac:dyDescent="0.3">
      <c r="A773" s="10" t="s">
        <v>1781</v>
      </c>
      <c r="B773" s="10">
        <v>54</v>
      </c>
      <c r="C773" s="10" t="s">
        <v>1463</v>
      </c>
      <c r="D773" s="10">
        <v>99</v>
      </c>
    </row>
    <row r="774" spans="1:4" ht="15.75" thickBot="1" x14ac:dyDescent="0.3">
      <c r="A774" s="10" t="s">
        <v>1781</v>
      </c>
      <c r="B774" s="10">
        <v>54</v>
      </c>
      <c r="C774" s="10" t="s">
        <v>1464</v>
      </c>
      <c r="D774" s="10">
        <v>109</v>
      </c>
    </row>
    <row r="775" spans="1:4" ht="15.75" thickBot="1" x14ac:dyDescent="0.3">
      <c r="A775" s="10" t="s">
        <v>1781</v>
      </c>
      <c r="B775" s="10">
        <v>54</v>
      </c>
      <c r="C775" s="10" t="s">
        <v>1465</v>
      </c>
      <c r="D775" s="10">
        <v>125</v>
      </c>
    </row>
    <row r="776" spans="1:4" ht="15.75" thickBot="1" x14ac:dyDescent="0.3">
      <c r="A776" s="10" t="s">
        <v>1781</v>
      </c>
      <c r="B776" s="10">
        <v>54</v>
      </c>
      <c r="C776" s="10" t="s">
        <v>1466</v>
      </c>
      <c r="D776" s="10">
        <v>128</v>
      </c>
    </row>
    <row r="777" spans="1:4" ht="15.75" thickBot="1" x14ac:dyDescent="0.3">
      <c r="A777" s="10" t="s">
        <v>1781</v>
      </c>
      <c r="B777" s="10">
        <v>54</v>
      </c>
      <c r="C777" s="10" t="s">
        <v>1467</v>
      </c>
      <c r="D777" s="10">
        <v>172</v>
      </c>
    </row>
    <row r="778" spans="1:4" ht="15.75" thickBot="1" x14ac:dyDescent="0.3">
      <c r="A778" s="10" t="s">
        <v>1781</v>
      </c>
      <c r="B778" s="10">
        <v>54</v>
      </c>
      <c r="C778" s="10" t="s">
        <v>1468</v>
      </c>
      <c r="D778" s="10">
        <v>174</v>
      </c>
    </row>
    <row r="779" spans="1:4" ht="15.75" thickBot="1" x14ac:dyDescent="0.3">
      <c r="A779" s="10" t="s">
        <v>1781</v>
      </c>
      <c r="B779" s="10">
        <v>54</v>
      </c>
      <c r="C779" s="10" t="s">
        <v>1469</v>
      </c>
      <c r="D779" s="10">
        <v>206</v>
      </c>
    </row>
    <row r="780" spans="1:4" ht="15.75" thickBot="1" x14ac:dyDescent="0.3">
      <c r="A780" s="10" t="s">
        <v>1781</v>
      </c>
      <c r="B780" s="10">
        <v>54</v>
      </c>
      <c r="C780" s="10" t="s">
        <v>1470</v>
      </c>
      <c r="D780" s="10">
        <v>223</v>
      </c>
    </row>
    <row r="781" spans="1:4" ht="15.75" thickBot="1" x14ac:dyDescent="0.3">
      <c r="A781" s="10" t="s">
        <v>1781</v>
      </c>
      <c r="B781" s="10">
        <v>54</v>
      </c>
      <c r="C781" s="10" t="s">
        <v>1471</v>
      </c>
      <c r="D781" s="10">
        <v>239</v>
      </c>
    </row>
    <row r="782" spans="1:4" ht="15.75" thickBot="1" x14ac:dyDescent="0.3">
      <c r="A782" s="10" t="s">
        <v>1781</v>
      </c>
      <c r="B782" s="10">
        <v>54</v>
      </c>
      <c r="C782" s="10" t="s">
        <v>1472</v>
      </c>
      <c r="D782" s="10">
        <v>245</v>
      </c>
    </row>
    <row r="783" spans="1:4" ht="15.75" thickBot="1" x14ac:dyDescent="0.3">
      <c r="A783" s="10" t="s">
        <v>1781</v>
      </c>
      <c r="B783" s="10">
        <v>54</v>
      </c>
      <c r="C783" s="10" t="s">
        <v>1473</v>
      </c>
      <c r="D783" s="10">
        <v>250</v>
      </c>
    </row>
    <row r="784" spans="1:4" ht="15.75" thickBot="1" x14ac:dyDescent="0.3">
      <c r="A784" s="10" t="s">
        <v>1781</v>
      </c>
      <c r="B784" s="10">
        <v>54</v>
      </c>
      <c r="C784" s="10" t="s">
        <v>1474</v>
      </c>
      <c r="D784" s="10">
        <v>261</v>
      </c>
    </row>
    <row r="785" spans="1:4" ht="15.75" thickBot="1" x14ac:dyDescent="0.3">
      <c r="A785" s="10" t="s">
        <v>1781</v>
      </c>
      <c r="B785" s="10">
        <v>54</v>
      </c>
      <c r="C785" s="10" t="s">
        <v>1475</v>
      </c>
      <c r="D785" s="10">
        <v>313</v>
      </c>
    </row>
    <row r="786" spans="1:4" ht="15.75" thickBot="1" x14ac:dyDescent="0.3">
      <c r="A786" s="10" t="s">
        <v>1781</v>
      </c>
      <c r="B786" s="10">
        <v>54</v>
      </c>
      <c r="C786" s="10" t="s">
        <v>1476</v>
      </c>
      <c r="D786" s="10">
        <v>344</v>
      </c>
    </row>
    <row r="787" spans="1:4" ht="15.75" thickBot="1" x14ac:dyDescent="0.3">
      <c r="A787" s="10" t="s">
        <v>1781</v>
      </c>
      <c r="B787" s="10">
        <v>54</v>
      </c>
      <c r="C787" s="10" t="s">
        <v>1477</v>
      </c>
      <c r="D787" s="10">
        <v>347</v>
      </c>
    </row>
    <row r="788" spans="1:4" ht="15.75" thickBot="1" x14ac:dyDescent="0.3">
      <c r="A788" s="10" t="s">
        <v>1781</v>
      </c>
      <c r="B788" s="10">
        <v>54</v>
      </c>
      <c r="C788" s="10" t="s">
        <v>1478</v>
      </c>
      <c r="D788" s="10">
        <v>377</v>
      </c>
    </row>
    <row r="789" spans="1:4" ht="15.75" thickBot="1" x14ac:dyDescent="0.3">
      <c r="A789" s="10" t="s">
        <v>1781</v>
      </c>
      <c r="B789" s="10">
        <v>54</v>
      </c>
      <c r="C789" s="10" t="s">
        <v>1479</v>
      </c>
      <c r="D789" s="10">
        <v>385</v>
      </c>
    </row>
    <row r="790" spans="1:4" ht="15.75" thickBot="1" x14ac:dyDescent="0.3">
      <c r="A790" s="10" t="s">
        <v>1781</v>
      </c>
      <c r="B790" s="10">
        <v>54</v>
      </c>
      <c r="C790" s="10" t="s">
        <v>1480</v>
      </c>
      <c r="D790" s="10">
        <v>398</v>
      </c>
    </row>
    <row r="791" spans="1:4" ht="15.75" thickBot="1" x14ac:dyDescent="0.3">
      <c r="A791" s="10" t="s">
        <v>1781</v>
      </c>
      <c r="B791" s="10">
        <v>54</v>
      </c>
      <c r="C791" s="10" t="s">
        <v>1481</v>
      </c>
      <c r="D791" s="10">
        <v>405</v>
      </c>
    </row>
    <row r="792" spans="1:4" ht="15.75" thickBot="1" x14ac:dyDescent="0.3">
      <c r="A792" s="10" t="s">
        <v>1781</v>
      </c>
      <c r="B792" s="10">
        <v>54</v>
      </c>
      <c r="C792" s="10" t="s">
        <v>1482</v>
      </c>
      <c r="D792" s="10">
        <v>418</v>
      </c>
    </row>
    <row r="793" spans="1:4" ht="15.75" thickBot="1" x14ac:dyDescent="0.3">
      <c r="A793" s="10" t="s">
        <v>1781</v>
      </c>
      <c r="B793" s="10">
        <v>54</v>
      </c>
      <c r="C793" s="10" t="s">
        <v>1483</v>
      </c>
      <c r="D793" s="10">
        <v>480</v>
      </c>
    </row>
    <row r="794" spans="1:4" ht="15.75" thickBot="1" x14ac:dyDescent="0.3">
      <c r="A794" s="10" t="s">
        <v>1781</v>
      </c>
      <c r="B794" s="10">
        <v>54</v>
      </c>
      <c r="C794" s="10" t="s">
        <v>1484</v>
      </c>
      <c r="D794" s="10">
        <v>498</v>
      </c>
    </row>
    <row r="795" spans="1:4" ht="15.75" thickBot="1" x14ac:dyDescent="0.3">
      <c r="A795" s="10" t="s">
        <v>1781</v>
      </c>
      <c r="B795" s="10">
        <v>54</v>
      </c>
      <c r="C795" s="10" t="s">
        <v>1485</v>
      </c>
      <c r="D795" s="10">
        <v>518</v>
      </c>
    </row>
    <row r="796" spans="1:4" ht="15.75" thickBot="1" x14ac:dyDescent="0.3">
      <c r="A796" s="10" t="s">
        <v>1781</v>
      </c>
      <c r="B796" s="10">
        <v>54</v>
      </c>
      <c r="C796" s="10" t="s">
        <v>1486</v>
      </c>
      <c r="D796" s="10">
        <v>520</v>
      </c>
    </row>
    <row r="797" spans="1:4" ht="15.75" thickBot="1" x14ac:dyDescent="0.3">
      <c r="A797" s="10" t="s">
        <v>1781</v>
      </c>
      <c r="B797" s="10">
        <v>54</v>
      </c>
      <c r="C797" s="10" t="s">
        <v>1487</v>
      </c>
      <c r="D797" s="10">
        <v>553</v>
      </c>
    </row>
    <row r="798" spans="1:4" ht="15.75" thickBot="1" x14ac:dyDescent="0.3">
      <c r="A798" s="10" t="s">
        <v>1781</v>
      </c>
      <c r="B798" s="10">
        <v>54</v>
      </c>
      <c r="C798" s="10" t="s">
        <v>1488</v>
      </c>
      <c r="D798" s="10">
        <v>599</v>
      </c>
    </row>
    <row r="799" spans="1:4" ht="15.75" thickBot="1" x14ac:dyDescent="0.3">
      <c r="A799" s="10" t="s">
        <v>1781</v>
      </c>
      <c r="B799" s="10">
        <v>54</v>
      </c>
      <c r="C799" s="10" t="s">
        <v>1489</v>
      </c>
      <c r="D799" s="10">
        <v>660</v>
      </c>
    </row>
    <row r="800" spans="1:4" ht="15.75" thickBot="1" x14ac:dyDescent="0.3">
      <c r="A800" s="10" t="s">
        <v>1781</v>
      </c>
      <c r="B800" s="10">
        <v>54</v>
      </c>
      <c r="C800" s="10" t="s">
        <v>1490</v>
      </c>
      <c r="D800" s="10">
        <v>670</v>
      </c>
    </row>
    <row r="801" spans="1:4" ht="15.75" thickBot="1" x14ac:dyDescent="0.3">
      <c r="A801" s="10" t="s">
        <v>1781</v>
      </c>
      <c r="B801" s="10">
        <v>54</v>
      </c>
      <c r="C801" s="10" t="s">
        <v>1252</v>
      </c>
      <c r="D801" s="10">
        <v>673</v>
      </c>
    </row>
    <row r="802" spans="1:4" ht="15.75" thickBot="1" x14ac:dyDescent="0.3">
      <c r="A802" s="10" t="s">
        <v>1781</v>
      </c>
      <c r="B802" s="10">
        <v>54</v>
      </c>
      <c r="C802" s="10" t="s">
        <v>1491</v>
      </c>
      <c r="D802" s="10">
        <v>680</v>
      </c>
    </row>
    <row r="803" spans="1:4" ht="15.75" thickBot="1" x14ac:dyDescent="0.3">
      <c r="A803" s="10" t="s">
        <v>1781</v>
      </c>
      <c r="B803" s="10">
        <v>54</v>
      </c>
      <c r="C803" s="10" t="s">
        <v>1492</v>
      </c>
      <c r="D803" s="10">
        <v>720</v>
      </c>
    </row>
    <row r="804" spans="1:4" ht="15.75" thickBot="1" x14ac:dyDescent="0.3">
      <c r="A804" s="10" t="s">
        <v>1781</v>
      </c>
      <c r="B804" s="10">
        <v>54</v>
      </c>
      <c r="C804" s="10" t="s">
        <v>1493</v>
      </c>
      <c r="D804" s="10">
        <v>743</v>
      </c>
    </row>
    <row r="805" spans="1:4" ht="15.75" thickBot="1" x14ac:dyDescent="0.3">
      <c r="A805" s="10" t="s">
        <v>1781</v>
      </c>
      <c r="B805" s="10">
        <v>54</v>
      </c>
      <c r="C805" s="10" t="s">
        <v>1494</v>
      </c>
      <c r="D805" s="10">
        <v>800</v>
      </c>
    </row>
    <row r="806" spans="1:4" ht="15.75" thickBot="1" x14ac:dyDescent="0.3">
      <c r="A806" s="10" t="s">
        <v>1781</v>
      </c>
      <c r="B806" s="10">
        <v>54</v>
      </c>
      <c r="C806" s="10" t="s">
        <v>1495</v>
      </c>
      <c r="D806" s="10">
        <v>810</v>
      </c>
    </row>
    <row r="807" spans="1:4" ht="15.75" thickBot="1" x14ac:dyDescent="0.3">
      <c r="A807" s="10" t="s">
        <v>1781</v>
      </c>
      <c r="B807" s="10">
        <v>54</v>
      </c>
      <c r="C807" s="10" t="s">
        <v>863</v>
      </c>
      <c r="D807" s="10">
        <v>820</v>
      </c>
    </row>
    <row r="808" spans="1:4" ht="15.75" thickBot="1" x14ac:dyDescent="0.3">
      <c r="A808" s="10" t="s">
        <v>1781</v>
      </c>
      <c r="B808" s="10">
        <v>54</v>
      </c>
      <c r="C808" s="10" t="s">
        <v>1496</v>
      </c>
      <c r="D808" s="10">
        <v>871</v>
      </c>
    </row>
    <row r="809" spans="1:4" ht="15.75" thickBot="1" x14ac:dyDescent="0.3">
      <c r="A809" s="10" t="s">
        <v>1781</v>
      </c>
      <c r="B809" s="10">
        <v>54</v>
      </c>
      <c r="C809" s="10" t="s">
        <v>1497</v>
      </c>
      <c r="D809" s="10">
        <v>874</v>
      </c>
    </row>
    <row r="810" spans="1:4" ht="15.75" thickBot="1" x14ac:dyDescent="0.3">
      <c r="A810" s="10" t="s">
        <v>1770</v>
      </c>
      <c r="B810" s="10">
        <v>63</v>
      </c>
      <c r="C810" s="10" t="s">
        <v>767</v>
      </c>
      <c r="D810" s="10">
        <v>1</v>
      </c>
    </row>
    <row r="811" spans="1:4" ht="15.75" thickBot="1" x14ac:dyDescent="0.3">
      <c r="A811" s="10" t="s">
        <v>1770</v>
      </c>
      <c r="B811" s="10">
        <v>63</v>
      </c>
      <c r="C811" s="10" t="s">
        <v>951</v>
      </c>
      <c r="D811" s="10">
        <v>111</v>
      </c>
    </row>
    <row r="812" spans="1:4" ht="15.75" thickBot="1" x14ac:dyDescent="0.3">
      <c r="A812" s="10" t="s">
        <v>1770</v>
      </c>
      <c r="B812" s="10">
        <v>63</v>
      </c>
      <c r="C812" s="10" t="s">
        <v>1498</v>
      </c>
      <c r="D812" s="10">
        <v>130</v>
      </c>
    </row>
    <row r="813" spans="1:4" ht="15.75" thickBot="1" x14ac:dyDescent="0.3">
      <c r="A813" s="10" t="s">
        <v>1770</v>
      </c>
      <c r="B813" s="10">
        <v>63</v>
      </c>
      <c r="C813" s="10" t="s">
        <v>1499</v>
      </c>
      <c r="D813" s="10">
        <v>190</v>
      </c>
    </row>
    <row r="814" spans="1:4" ht="15.75" thickBot="1" x14ac:dyDescent="0.3">
      <c r="A814" s="10" t="s">
        <v>1770</v>
      </c>
      <c r="B814" s="10">
        <v>63</v>
      </c>
      <c r="C814" s="10" t="s">
        <v>907</v>
      </c>
      <c r="D814" s="10">
        <v>212</v>
      </c>
    </row>
    <row r="815" spans="1:4" ht="15.75" thickBot="1" x14ac:dyDescent="0.3">
      <c r="A815" s="10" t="s">
        <v>1770</v>
      </c>
      <c r="B815" s="10">
        <v>63</v>
      </c>
      <c r="C815" s="10" t="s">
        <v>1500</v>
      </c>
      <c r="D815" s="10">
        <v>272</v>
      </c>
    </row>
    <row r="816" spans="1:4" ht="15.75" thickBot="1" x14ac:dyDescent="0.3">
      <c r="A816" s="10" t="s">
        <v>1770</v>
      </c>
      <c r="B816" s="10">
        <v>63</v>
      </c>
      <c r="C816" s="10" t="s">
        <v>1501</v>
      </c>
      <c r="D816" s="10">
        <v>302</v>
      </c>
    </row>
    <row r="817" spans="1:4" ht="15.75" thickBot="1" x14ac:dyDescent="0.3">
      <c r="A817" s="10" t="s">
        <v>1770</v>
      </c>
      <c r="B817" s="10">
        <v>63</v>
      </c>
      <c r="C817" s="10" t="s">
        <v>1502</v>
      </c>
      <c r="D817" s="10">
        <v>401</v>
      </c>
    </row>
    <row r="818" spans="1:4" ht="15.75" thickBot="1" x14ac:dyDescent="0.3">
      <c r="A818" s="10" t="s">
        <v>1770</v>
      </c>
      <c r="B818" s="10">
        <v>63</v>
      </c>
      <c r="C818" s="10" t="s">
        <v>1503</v>
      </c>
      <c r="D818" s="10">
        <v>470</v>
      </c>
    </row>
    <row r="819" spans="1:4" ht="15.75" thickBot="1" x14ac:dyDescent="0.3">
      <c r="A819" s="10" t="s">
        <v>1770</v>
      </c>
      <c r="B819" s="10">
        <v>63</v>
      </c>
      <c r="C819" s="10" t="s">
        <v>1504</v>
      </c>
      <c r="D819" s="10">
        <v>548</v>
      </c>
    </row>
    <row r="820" spans="1:4" ht="15.75" thickBot="1" x14ac:dyDescent="0.3">
      <c r="A820" s="10" t="s">
        <v>1770</v>
      </c>
      <c r="B820" s="10">
        <v>63</v>
      </c>
      <c r="C820" s="10" t="s">
        <v>1505</v>
      </c>
      <c r="D820" s="10">
        <v>594</v>
      </c>
    </row>
    <row r="821" spans="1:4" ht="15.75" thickBot="1" x14ac:dyDescent="0.3">
      <c r="A821" s="10" t="s">
        <v>1770</v>
      </c>
      <c r="B821" s="10">
        <v>63</v>
      </c>
      <c r="C821" s="10" t="s">
        <v>1506</v>
      </c>
      <c r="D821" s="10">
        <v>690</v>
      </c>
    </row>
    <row r="822" spans="1:4" ht="15.75" thickBot="1" x14ac:dyDescent="0.3">
      <c r="A822" s="10" t="s">
        <v>1081</v>
      </c>
      <c r="B822" s="10">
        <v>66</v>
      </c>
      <c r="C822" s="10" t="s">
        <v>1507</v>
      </c>
      <c r="D822" s="10">
        <v>1</v>
      </c>
    </row>
    <row r="823" spans="1:4" ht="15.75" thickBot="1" x14ac:dyDescent="0.3">
      <c r="A823" s="10" t="s">
        <v>1081</v>
      </c>
      <c r="B823" s="10">
        <v>66</v>
      </c>
      <c r="C823" s="10" t="s">
        <v>1508</v>
      </c>
      <c r="D823" s="10">
        <v>45</v>
      </c>
    </row>
    <row r="824" spans="1:4" ht="15.75" thickBot="1" x14ac:dyDescent="0.3">
      <c r="A824" s="10" t="s">
        <v>1081</v>
      </c>
      <c r="B824" s="10">
        <v>66</v>
      </c>
      <c r="C824" s="10" t="s">
        <v>1105</v>
      </c>
      <c r="D824" s="10">
        <v>75</v>
      </c>
    </row>
    <row r="825" spans="1:4" ht="15.75" thickBot="1" x14ac:dyDescent="0.3">
      <c r="A825" s="10" t="s">
        <v>1081</v>
      </c>
      <c r="B825" s="10">
        <v>66</v>
      </c>
      <c r="C825" s="10" t="s">
        <v>1509</v>
      </c>
      <c r="D825" s="10">
        <v>88</v>
      </c>
    </row>
    <row r="826" spans="1:4" ht="15.75" thickBot="1" x14ac:dyDescent="0.3">
      <c r="A826" s="10" t="s">
        <v>1081</v>
      </c>
      <c r="B826" s="10">
        <v>66</v>
      </c>
      <c r="C826" s="10" t="s">
        <v>1510</v>
      </c>
      <c r="D826" s="10">
        <v>170</v>
      </c>
    </row>
    <row r="827" spans="1:4" ht="15.75" thickBot="1" x14ac:dyDescent="0.3">
      <c r="A827" s="10" t="s">
        <v>1081</v>
      </c>
      <c r="B827" s="10">
        <v>66</v>
      </c>
      <c r="C827" s="10" t="s">
        <v>1511</v>
      </c>
      <c r="D827" s="10">
        <v>318</v>
      </c>
    </row>
    <row r="828" spans="1:4" ht="15.75" thickBot="1" x14ac:dyDescent="0.3">
      <c r="A828" s="10" t="s">
        <v>1081</v>
      </c>
      <c r="B828" s="10">
        <v>66</v>
      </c>
      <c r="C828" s="10" t="s">
        <v>1512</v>
      </c>
      <c r="D828" s="10">
        <v>383</v>
      </c>
    </row>
    <row r="829" spans="1:4" ht="15.75" thickBot="1" x14ac:dyDescent="0.3">
      <c r="A829" s="10" t="s">
        <v>1081</v>
      </c>
      <c r="B829" s="10">
        <v>66</v>
      </c>
      <c r="C829" s="10" t="s">
        <v>1513</v>
      </c>
      <c r="D829" s="10">
        <v>400</v>
      </c>
    </row>
    <row r="830" spans="1:4" ht="15.75" thickBot="1" x14ac:dyDescent="0.3">
      <c r="A830" s="10" t="s">
        <v>1081</v>
      </c>
      <c r="B830" s="10">
        <v>66</v>
      </c>
      <c r="C830" s="10" t="s">
        <v>1514</v>
      </c>
      <c r="D830" s="10">
        <v>440</v>
      </c>
    </row>
    <row r="831" spans="1:4" ht="15.75" thickBot="1" x14ac:dyDescent="0.3">
      <c r="A831" s="10" t="s">
        <v>1081</v>
      </c>
      <c r="B831" s="10">
        <v>66</v>
      </c>
      <c r="C831" s="10" t="s">
        <v>1515</v>
      </c>
      <c r="D831" s="10">
        <v>456</v>
      </c>
    </row>
    <row r="832" spans="1:4" ht="15.75" thickBot="1" x14ac:dyDescent="0.3">
      <c r="A832" s="10" t="s">
        <v>1081</v>
      </c>
      <c r="B832" s="10">
        <v>66</v>
      </c>
      <c r="C832" s="10" t="s">
        <v>1516</v>
      </c>
      <c r="D832" s="10">
        <v>572</v>
      </c>
    </row>
    <row r="833" spans="1:4" ht="15.75" thickBot="1" x14ac:dyDescent="0.3">
      <c r="A833" s="10" t="s">
        <v>1081</v>
      </c>
      <c r="B833" s="10">
        <v>66</v>
      </c>
      <c r="C833" s="10" t="s">
        <v>1517</v>
      </c>
      <c r="D833" s="10">
        <v>594</v>
      </c>
    </row>
    <row r="834" spans="1:4" ht="15.75" thickBot="1" x14ac:dyDescent="0.3">
      <c r="A834" s="10" t="s">
        <v>1081</v>
      </c>
      <c r="B834" s="10">
        <v>66</v>
      </c>
      <c r="C834" s="10" t="s">
        <v>1518</v>
      </c>
      <c r="D834" s="10">
        <v>682</v>
      </c>
    </row>
    <row r="835" spans="1:4" ht="15.75" thickBot="1" x14ac:dyDescent="0.3">
      <c r="A835" s="10" t="s">
        <v>1081</v>
      </c>
      <c r="B835" s="10">
        <v>66</v>
      </c>
      <c r="C835" s="10" t="s">
        <v>855</v>
      </c>
      <c r="D835" s="10">
        <v>687</v>
      </c>
    </row>
    <row r="836" spans="1:4" ht="15.75" thickBot="1" x14ac:dyDescent="0.3">
      <c r="A836" s="10" t="s">
        <v>1771</v>
      </c>
      <c r="B836" s="10">
        <v>68</v>
      </c>
      <c r="C836" s="10" t="s">
        <v>1519</v>
      </c>
      <c r="D836" s="10">
        <v>1</v>
      </c>
    </row>
    <row r="837" spans="1:4" ht="15.75" thickBot="1" x14ac:dyDescent="0.3">
      <c r="A837" s="10" t="s">
        <v>1771</v>
      </c>
      <c r="B837" s="10">
        <v>68</v>
      </c>
      <c r="C837" s="10" t="s">
        <v>1520</v>
      </c>
      <c r="D837" s="10">
        <v>13</v>
      </c>
    </row>
    <row r="838" spans="1:4" ht="15.75" thickBot="1" x14ac:dyDescent="0.3">
      <c r="A838" s="10" t="s">
        <v>1771</v>
      </c>
      <c r="B838" s="10">
        <v>68</v>
      </c>
      <c r="C838" s="10" t="s">
        <v>1090</v>
      </c>
      <c r="D838" s="10">
        <v>20</v>
      </c>
    </row>
    <row r="839" spans="1:4" ht="15.75" thickBot="1" x14ac:dyDescent="0.3">
      <c r="A839" s="10" t="s">
        <v>1771</v>
      </c>
      <c r="B839" s="10">
        <v>68</v>
      </c>
      <c r="C839" s="10" t="s">
        <v>1521</v>
      </c>
      <c r="D839" s="10">
        <v>51</v>
      </c>
    </row>
    <row r="840" spans="1:4" ht="15.75" thickBot="1" x14ac:dyDescent="0.3">
      <c r="A840" s="10" t="s">
        <v>1771</v>
      </c>
      <c r="B840" s="10">
        <v>68</v>
      </c>
      <c r="C840" s="10" t="s">
        <v>768</v>
      </c>
      <c r="D840" s="10">
        <v>77</v>
      </c>
    </row>
    <row r="841" spans="1:4" ht="15.75" thickBot="1" x14ac:dyDescent="0.3">
      <c r="A841" s="10" t="s">
        <v>1771</v>
      </c>
      <c r="B841" s="10">
        <v>68</v>
      </c>
      <c r="C841" s="10" t="s">
        <v>1522</v>
      </c>
      <c r="D841" s="10">
        <v>79</v>
      </c>
    </row>
    <row r="842" spans="1:4" ht="15.75" thickBot="1" x14ac:dyDescent="0.3">
      <c r="A842" s="10" t="s">
        <v>1771</v>
      </c>
      <c r="B842" s="10">
        <v>68</v>
      </c>
      <c r="C842" s="10" t="s">
        <v>1523</v>
      </c>
      <c r="D842" s="10">
        <v>81</v>
      </c>
    </row>
    <row r="843" spans="1:4" ht="15.75" thickBot="1" x14ac:dyDescent="0.3">
      <c r="A843" s="10" t="s">
        <v>1771</v>
      </c>
      <c r="B843" s="10">
        <v>68</v>
      </c>
      <c r="C843" s="10" t="s">
        <v>772</v>
      </c>
      <c r="D843" s="10">
        <v>92</v>
      </c>
    </row>
    <row r="844" spans="1:4" ht="15.75" thickBot="1" x14ac:dyDescent="0.3">
      <c r="A844" s="10" t="s">
        <v>1771</v>
      </c>
      <c r="B844" s="10">
        <v>68</v>
      </c>
      <c r="C844" s="10" t="s">
        <v>773</v>
      </c>
      <c r="D844" s="10">
        <v>101</v>
      </c>
    </row>
    <row r="845" spans="1:4" ht="15.75" thickBot="1" x14ac:dyDescent="0.3">
      <c r="A845" s="10" t="s">
        <v>1771</v>
      </c>
      <c r="B845" s="10">
        <v>68</v>
      </c>
      <c r="C845" s="10" t="s">
        <v>1187</v>
      </c>
      <c r="D845" s="10">
        <v>121</v>
      </c>
    </row>
    <row r="846" spans="1:4" ht="15.75" thickBot="1" x14ac:dyDescent="0.3">
      <c r="A846" s="10" t="s">
        <v>1771</v>
      </c>
      <c r="B846" s="10">
        <v>68</v>
      </c>
      <c r="C846" s="10" t="s">
        <v>1524</v>
      </c>
      <c r="D846" s="10">
        <v>132</v>
      </c>
    </row>
    <row r="847" spans="1:4" ht="15.75" thickBot="1" x14ac:dyDescent="0.3">
      <c r="A847" s="10" t="s">
        <v>1771</v>
      </c>
      <c r="B847" s="10">
        <v>68</v>
      </c>
      <c r="C847" s="10" t="s">
        <v>1525</v>
      </c>
      <c r="D847" s="10">
        <v>147</v>
      </c>
    </row>
    <row r="848" spans="1:4" ht="15.75" thickBot="1" x14ac:dyDescent="0.3">
      <c r="A848" s="10" t="s">
        <v>1771</v>
      </c>
      <c r="B848" s="10">
        <v>68</v>
      </c>
      <c r="C848" s="10" t="s">
        <v>1526</v>
      </c>
      <c r="D848" s="10">
        <v>152</v>
      </c>
    </row>
    <row r="849" spans="1:4" ht="15.75" thickBot="1" x14ac:dyDescent="0.3">
      <c r="A849" s="10" t="s">
        <v>1771</v>
      </c>
      <c r="B849" s="10">
        <v>68</v>
      </c>
      <c r="C849" s="10" t="s">
        <v>1527</v>
      </c>
      <c r="D849" s="10">
        <v>160</v>
      </c>
    </row>
    <row r="850" spans="1:4" ht="15.75" thickBot="1" x14ac:dyDescent="0.3">
      <c r="A850" s="10" t="s">
        <v>1771</v>
      </c>
      <c r="B850" s="10">
        <v>68</v>
      </c>
      <c r="C850" s="10" t="s">
        <v>1528</v>
      </c>
      <c r="D850" s="10">
        <v>162</v>
      </c>
    </row>
    <row r="851" spans="1:4" ht="15.75" thickBot="1" x14ac:dyDescent="0.3">
      <c r="A851" s="10" t="s">
        <v>1771</v>
      </c>
      <c r="B851" s="10">
        <v>68</v>
      </c>
      <c r="C851" s="10" t="s">
        <v>1529</v>
      </c>
      <c r="D851" s="10">
        <v>167</v>
      </c>
    </row>
    <row r="852" spans="1:4" ht="15.75" thickBot="1" x14ac:dyDescent="0.3">
      <c r="A852" s="10" t="s">
        <v>1771</v>
      </c>
      <c r="B852" s="10">
        <v>68</v>
      </c>
      <c r="C852" s="10" t="s">
        <v>1530</v>
      </c>
      <c r="D852" s="10">
        <v>169</v>
      </c>
    </row>
    <row r="853" spans="1:4" ht="15.75" thickBot="1" x14ac:dyDescent="0.3">
      <c r="A853" s="10" t="s">
        <v>1771</v>
      </c>
      <c r="B853" s="10">
        <v>68</v>
      </c>
      <c r="C853" s="10" t="s">
        <v>1157</v>
      </c>
      <c r="D853" s="10">
        <v>176</v>
      </c>
    </row>
    <row r="854" spans="1:4" ht="15.75" thickBot="1" x14ac:dyDescent="0.3">
      <c r="A854" s="10" t="s">
        <v>1771</v>
      </c>
      <c r="B854" s="10">
        <v>68</v>
      </c>
      <c r="C854" s="10" t="s">
        <v>1531</v>
      </c>
      <c r="D854" s="10">
        <v>179</v>
      </c>
    </row>
    <row r="855" spans="1:4" ht="15.75" thickBot="1" x14ac:dyDescent="0.3">
      <c r="A855" s="10" t="s">
        <v>1771</v>
      </c>
      <c r="B855" s="10">
        <v>68</v>
      </c>
      <c r="C855" s="10" t="s">
        <v>1532</v>
      </c>
      <c r="D855" s="10">
        <v>190</v>
      </c>
    </row>
    <row r="856" spans="1:4" ht="15.75" thickBot="1" x14ac:dyDescent="0.3">
      <c r="A856" s="10" t="s">
        <v>1771</v>
      </c>
      <c r="B856" s="10">
        <v>68</v>
      </c>
      <c r="C856" s="10" t="s">
        <v>790</v>
      </c>
      <c r="D856" s="10">
        <v>207</v>
      </c>
    </row>
    <row r="857" spans="1:4" ht="15.75" thickBot="1" x14ac:dyDescent="0.3">
      <c r="A857" s="10" t="s">
        <v>1771</v>
      </c>
      <c r="B857" s="10">
        <v>68</v>
      </c>
      <c r="C857" s="10" t="s">
        <v>1533</v>
      </c>
      <c r="D857" s="10">
        <v>209</v>
      </c>
    </row>
    <row r="858" spans="1:4" ht="15.75" thickBot="1" x14ac:dyDescent="0.3">
      <c r="A858" s="10" t="s">
        <v>1771</v>
      </c>
      <c r="B858" s="10">
        <v>68</v>
      </c>
      <c r="C858" s="10" t="s">
        <v>1534</v>
      </c>
      <c r="D858" s="10">
        <v>211</v>
      </c>
    </row>
    <row r="859" spans="1:4" ht="15.75" thickBot="1" x14ac:dyDescent="0.3">
      <c r="A859" s="10" t="s">
        <v>1771</v>
      </c>
      <c r="B859" s="10">
        <v>68</v>
      </c>
      <c r="C859" s="10" t="s">
        <v>1535</v>
      </c>
      <c r="D859" s="10">
        <v>217</v>
      </c>
    </row>
    <row r="860" spans="1:4" ht="15.75" thickBot="1" x14ac:dyDescent="0.3">
      <c r="A860" s="10" t="s">
        <v>1771</v>
      </c>
      <c r="B860" s="10">
        <v>68</v>
      </c>
      <c r="C860" s="10" t="s">
        <v>1536</v>
      </c>
      <c r="D860" s="10">
        <v>229</v>
      </c>
    </row>
    <row r="861" spans="1:4" ht="15.75" thickBot="1" x14ac:dyDescent="0.3">
      <c r="A861" s="10" t="s">
        <v>1771</v>
      </c>
      <c r="B861" s="10">
        <v>68</v>
      </c>
      <c r="C861" s="10" t="s">
        <v>1537</v>
      </c>
      <c r="D861" s="10">
        <v>235</v>
      </c>
    </row>
    <row r="862" spans="1:4" ht="15.75" thickBot="1" x14ac:dyDescent="0.3">
      <c r="A862" s="10" t="s">
        <v>1771</v>
      </c>
      <c r="B862" s="10">
        <v>68</v>
      </c>
      <c r="C862" s="10" t="s">
        <v>1538</v>
      </c>
      <c r="D862" s="10">
        <v>245</v>
      </c>
    </row>
    <row r="863" spans="1:4" ht="15.75" thickBot="1" x14ac:dyDescent="0.3">
      <c r="A863" s="10" t="s">
        <v>1771</v>
      </c>
      <c r="B863" s="10">
        <v>68</v>
      </c>
      <c r="C863" s="10" t="s">
        <v>911</v>
      </c>
      <c r="D863" s="10">
        <v>250</v>
      </c>
    </row>
    <row r="864" spans="1:4" ht="15.75" thickBot="1" x14ac:dyDescent="0.3">
      <c r="A864" s="10" t="s">
        <v>1771</v>
      </c>
      <c r="B864" s="10">
        <v>68</v>
      </c>
      <c r="C864" s="10" t="s">
        <v>1539</v>
      </c>
      <c r="D864" s="10">
        <v>255</v>
      </c>
    </row>
    <row r="865" spans="1:4" ht="15.75" thickBot="1" x14ac:dyDescent="0.3">
      <c r="A865" s="10" t="s">
        <v>1771</v>
      </c>
      <c r="B865" s="10">
        <v>68</v>
      </c>
      <c r="C865" s="10" t="s">
        <v>1540</v>
      </c>
      <c r="D865" s="10">
        <v>264</v>
      </c>
    </row>
    <row r="866" spans="1:4" ht="15.75" thickBot="1" x14ac:dyDescent="0.3">
      <c r="A866" s="10" t="s">
        <v>1771</v>
      </c>
      <c r="B866" s="10">
        <v>68</v>
      </c>
      <c r="C866" s="10" t="s">
        <v>1541</v>
      </c>
      <c r="D866" s="10">
        <v>266</v>
      </c>
    </row>
    <row r="867" spans="1:4" ht="15.75" thickBot="1" x14ac:dyDescent="0.3">
      <c r="A867" s="10" t="s">
        <v>1771</v>
      </c>
      <c r="B867" s="10">
        <v>68</v>
      </c>
      <c r="C867" s="10" t="s">
        <v>1542</v>
      </c>
      <c r="D867" s="10">
        <v>271</v>
      </c>
    </row>
    <row r="868" spans="1:4" ht="15.75" thickBot="1" x14ac:dyDescent="0.3">
      <c r="A868" s="10" t="s">
        <v>1771</v>
      </c>
      <c r="B868" s="10">
        <v>68</v>
      </c>
      <c r="C868" s="10" t="s">
        <v>1543</v>
      </c>
      <c r="D868" s="10">
        <v>276</v>
      </c>
    </row>
    <row r="869" spans="1:4" ht="15.75" thickBot="1" x14ac:dyDescent="0.3">
      <c r="A869" s="10" t="s">
        <v>1771</v>
      </c>
      <c r="B869" s="10">
        <v>68</v>
      </c>
      <c r="C869" s="10" t="s">
        <v>1544</v>
      </c>
      <c r="D869" s="10">
        <v>296</v>
      </c>
    </row>
    <row r="870" spans="1:4" ht="15.75" thickBot="1" x14ac:dyDescent="0.3">
      <c r="A870" s="10" t="s">
        <v>1771</v>
      </c>
      <c r="B870" s="10">
        <v>68</v>
      </c>
      <c r="C870" s="10" t="s">
        <v>1545</v>
      </c>
      <c r="D870" s="10">
        <v>298</v>
      </c>
    </row>
    <row r="871" spans="1:4" ht="15.75" thickBot="1" x14ac:dyDescent="0.3">
      <c r="A871" s="10" t="s">
        <v>1771</v>
      </c>
      <c r="B871" s="10">
        <v>68</v>
      </c>
      <c r="C871" s="10" t="s">
        <v>1546</v>
      </c>
      <c r="D871" s="10">
        <v>307</v>
      </c>
    </row>
    <row r="872" spans="1:4" ht="15.75" thickBot="1" x14ac:dyDescent="0.3">
      <c r="A872" s="10" t="s">
        <v>1771</v>
      </c>
      <c r="B872" s="10">
        <v>68</v>
      </c>
      <c r="C872" s="10" t="s">
        <v>1547</v>
      </c>
      <c r="D872" s="10">
        <v>318</v>
      </c>
    </row>
    <row r="873" spans="1:4" ht="15.75" thickBot="1" x14ac:dyDescent="0.3">
      <c r="A873" s="10" t="s">
        <v>1771</v>
      </c>
      <c r="B873" s="10">
        <v>68</v>
      </c>
      <c r="C873" s="10" t="s">
        <v>805</v>
      </c>
      <c r="D873" s="10">
        <v>320</v>
      </c>
    </row>
    <row r="874" spans="1:4" ht="15.75" thickBot="1" x14ac:dyDescent="0.3">
      <c r="A874" s="10" t="s">
        <v>1771</v>
      </c>
      <c r="B874" s="10">
        <v>68</v>
      </c>
      <c r="C874" s="10" t="s">
        <v>1548</v>
      </c>
      <c r="D874" s="10">
        <v>322</v>
      </c>
    </row>
    <row r="875" spans="1:4" ht="15.75" thickBot="1" x14ac:dyDescent="0.3">
      <c r="A875" s="10" t="s">
        <v>1771</v>
      </c>
      <c r="B875" s="10">
        <v>68</v>
      </c>
      <c r="C875" s="10" t="s">
        <v>1549</v>
      </c>
      <c r="D875" s="10">
        <v>324</v>
      </c>
    </row>
    <row r="876" spans="1:4" ht="15.75" thickBot="1" x14ac:dyDescent="0.3">
      <c r="A876" s="10" t="s">
        <v>1771</v>
      </c>
      <c r="B876" s="10">
        <v>68</v>
      </c>
      <c r="C876" s="10" t="s">
        <v>1550</v>
      </c>
      <c r="D876" s="10">
        <v>327</v>
      </c>
    </row>
    <row r="877" spans="1:4" ht="15.75" thickBot="1" x14ac:dyDescent="0.3">
      <c r="A877" s="10" t="s">
        <v>1771</v>
      </c>
      <c r="B877" s="10">
        <v>68</v>
      </c>
      <c r="C877" s="10" t="s">
        <v>1551</v>
      </c>
      <c r="D877" s="10">
        <v>344</v>
      </c>
    </row>
    <row r="878" spans="1:4" ht="15.75" thickBot="1" x14ac:dyDescent="0.3">
      <c r="A878" s="10" t="s">
        <v>1771</v>
      </c>
      <c r="B878" s="10">
        <v>68</v>
      </c>
      <c r="C878" s="10" t="s">
        <v>1552</v>
      </c>
      <c r="D878" s="10">
        <v>368</v>
      </c>
    </row>
    <row r="879" spans="1:4" ht="15.75" thickBot="1" x14ac:dyDescent="0.3">
      <c r="A879" s="10" t="s">
        <v>1771</v>
      </c>
      <c r="B879" s="10">
        <v>68</v>
      </c>
      <c r="C879" s="10" t="s">
        <v>1553</v>
      </c>
      <c r="D879" s="10">
        <v>370</v>
      </c>
    </row>
    <row r="880" spans="1:4" ht="15.75" thickBot="1" x14ac:dyDescent="0.3">
      <c r="A880" s="10" t="s">
        <v>1771</v>
      </c>
      <c r="B880" s="10">
        <v>68</v>
      </c>
      <c r="C880" s="10" t="s">
        <v>1554</v>
      </c>
      <c r="D880" s="10">
        <v>377</v>
      </c>
    </row>
    <row r="881" spans="1:4" ht="15.75" thickBot="1" x14ac:dyDescent="0.3">
      <c r="A881" s="10" t="s">
        <v>1771</v>
      </c>
      <c r="B881" s="10">
        <v>68</v>
      </c>
      <c r="C881" s="10" t="s">
        <v>1555</v>
      </c>
      <c r="D881" s="10">
        <v>385</v>
      </c>
    </row>
    <row r="882" spans="1:4" ht="15.75" thickBot="1" x14ac:dyDescent="0.3">
      <c r="A882" s="10" t="s">
        <v>1771</v>
      </c>
      <c r="B882" s="10">
        <v>68</v>
      </c>
      <c r="C882" s="10" t="s">
        <v>1556</v>
      </c>
      <c r="D882" s="10">
        <v>397</v>
      </c>
    </row>
    <row r="883" spans="1:4" ht="15.75" thickBot="1" x14ac:dyDescent="0.3">
      <c r="A883" s="10" t="s">
        <v>1771</v>
      </c>
      <c r="B883" s="10">
        <v>68</v>
      </c>
      <c r="C883" s="10" t="s">
        <v>1557</v>
      </c>
      <c r="D883" s="10">
        <v>406</v>
      </c>
    </row>
    <row r="884" spans="1:4" ht="15.75" thickBot="1" x14ac:dyDescent="0.3">
      <c r="A884" s="10" t="s">
        <v>1771</v>
      </c>
      <c r="B884" s="10">
        <v>68</v>
      </c>
      <c r="C884" s="10" t="s">
        <v>1558</v>
      </c>
      <c r="D884" s="10">
        <v>418</v>
      </c>
    </row>
    <row r="885" spans="1:4" ht="15.75" thickBot="1" x14ac:dyDescent="0.3">
      <c r="A885" s="10" t="s">
        <v>1771</v>
      </c>
      <c r="B885" s="10">
        <v>68</v>
      </c>
      <c r="C885" s="10" t="s">
        <v>1559</v>
      </c>
      <c r="D885" s="10">
        <v>425</v>
      </c>
    </row>
    <row r="886" spans="1:4" ht="15.75" thickBot="1" x14ac:dyDescent="0.3">
      <c r="A886" s="10" t="s">
        <v>1771</v>
      </c>
      <c r="B886" s="10">
        <v>68</v>
      </c>
      <c r="C886" s="10" t="s">
        <v>1560</v>
      </c>
      <c r="D886" s="10">
        <v>432</v>
      </c>
    </row>
    <row r="887" spans="1:4" ht="15.75" thickBot="1" x14ac:dyDescent="0.3">
      <c r="A887" s="10" t="s">
        <v>1771</v>
      </c>
      <c r="B887" s="10">
        <v>68</v>
      </c>
      <c r="C887" s="10" t="s">
        <v>1561</v>
      </c>
      <c r="D887" s="10">
        <v>444</v>
      </c>
    </row>
    <row r="888" spans="1:4" ht="15.75" thickBot="1" x14ac:dyDescent="0.3">
      <c r="A888" s="10" t="s">
        <v>1771</v>
      </c>
      <c r="B888" s="10">
        <v>68</v>
      </c>
      <c r="C888" s="10" t="s">
        <v>1562</v>
      </c>
      <c r="D888" s="10">
        <v>464</v>
      </c>
    </row>
    <row r="889" spans="1:4" ht="15.75" thickBot="1" x14ac:dyDescent="0.3">
      <c r="A889" s="10" t="s">
        <v>1771</v>
      </c>
      <c r="B889" s="10">
        <v>68</v>
      </c>
      <c r="C889" s="10" t="s">
        <v>1563</v>
      </c>
      <c r="D889" s="10">
        <v>468</v>
      </c>
    </row>
    <row r="890" spans="1:4" ht="15.75" thickBot="1" x14ac:dyDescent="0.3">
      <c r="A890" s="10" t="s">
        <v>1771</v>
      </c>
      <c r="B890" s="10">
        <v>68</v>
      </c>
      <c r="C890" s="10" t="s">
        <v>1564</v>
      </c>
      <c r="D890" s="10">
        <v>498</v>
      </c>
    </row>
    <row r="891" spans="1:4" ht="15.75" thickBot="1" x14ac:dyDescent="0.3">
      <c r="A891" s="10" t="s">
        <v>1771</v>
      </c>
      <c r="B891" s="10">
        <v>68</v>
      </c>
      <c r="C891" s="10" t="s">
        <v>1565</v>
      </c>
      <c r="D891" s="10">
        <v>500</v>
      </c>
    </row>
    <row r="892" spans="1:4" ht="15.75" thickBot="1" x14ac:dyDescent="0.3">
      <c r="A892" s="10" t="s">
        <v>1771</v>
      </c>
      <c r="B892" s="10">
        <v>68</v>
      </c>
      <c r="C892" s="10" t="s">
        <v>1566</v>
      </c>
      <c r="D892" s="10">
        <v>502</v>
      </c>
    </row>
    <row r="893" spans="1:4" ht="15.75" thickBot="1" x14ac:dyDescent="0.3">
      <c r="A893" s="10" t="s">
        <v>1771</v>
      </c>
      <c r="B893" s="10">
        <v>68</v>
      </c>
      <c r="C893" s="10" t="s">
        <v>1567</v>
      </c>
      <c r="D893" s="10">
        <v>522</v>
      </c>
    </row>
    <row r="894" spans="1:4" ht="15.75" thickBot="1" x14ac:dyDescent="0.3">
      <c r="A894" s="10" t="s">
        <v>1771</v>
      </c>
      <c r="B894" s="10">
        <v>68</v>
      </c>
      <c r="C894" s="10" t="s">
        <v>1568</v>
      </c>
      <c r="D894" s="10">
        <v>524</v>
      </c>
    </row>
    <row r="895" spans="1:4" ht="15.75" thickBot="1" x14ac:dyDescent="0.3">
      <c r="A895" s="10" t="s">
        <v>1771</v>
      </c>
      <c r="B895" s="10">
        <v>68</v>
      </c>
      <c r="C895" s="10" t="s">
        <v>1569</v>
      </c>
      <c r="D895" s="10">
        <v>533</v>
      </c>
    </row>
    <row r="896" spans="1:4" ht="15.75" thickBot="1" x14ac:dyDescent="0.3">
      <c r="A896" s="10" t="s">
        <v>1771</v>
      </c>
      <c r="B896" s="10">
        <v>68</v>
      </c>
      <c r="C896" s="10" t="s">
        <v>1570</v>
      </c>
      <c r="D896" s="10">
        <v>547</v>
      </c>
    </row>
    <row r="897" spans="1:4" ht="15.75" thickBot="1" x14ac:dyDescent="0.3">
      <c r="A897" s="10" t="s">
        <v>1771</v>
      </c>
      <c r="B897" s="10">
        <v>68</v>
      </c>
      <c r="C897" s="10" t="s">
        <v>1571</v>
      </c>
      <c r="D897" s="10">
        <v>549</v>
      </c>
    </row>
    <row r="898" spans="1:4" ht="15.75" thickBot="1" x14ac:dyDescent="0.3">
      <c r="A898" s="10" t="s">
        <v>1771</v>
      </c>
      <c r="B898" s="10">
        <v>68</v>
      </c>
      <c r="C898" s="10" t="s">
        <v>1572</v>
      </c>
      <c r="D898" s="10">
        <v>572</v>
      </c>
    </row>
    <row r="899" spans="1:4" ht="15.75" thickBot="1" x14ac:dyDescent="0.3">
      <c r="A899" s="10" t="s">
        <v>1771</v>
      </c>
      <c r="B899" s="10">
        <v>68</v>
      </c>
      <c r="C899" s="10" t="s">
        <v>1573</v>
      </c>
      <c r="D899" s="10">
        <v>573</v>
      </c>
    </row>
    <row r="900" spans="1:4" ht="15.75" thickBot="1" x14ac:dyDescent="0.3">
      <c r="A900" s="10" t="s">
        <v>1771</v>
      </c>
      <c r="B900" s="10">
        <v>68</v>
      </c>
      <c r="C900" s="10" t="s">
        <v>1574</v>
      </c>
      <c r="D900" s="10">
        <v>575</v>
      </c>
    </row>
    <row r="901" spans="1:4" ht="15.75" thickBot="1" x14ac:dyDescent="0.3">
      <c r="A901" s="10" t="s">
        <v>1771</v>
      </c>
      <c r="B901" s="10">
        <v>68</v>
      </c>
      <c r="C901" s="10" t="s">
        <v>836</v>
      </c>
      <c r="D901" s="10">
        <v>615</v>
      </c>
    </row>
    <row r="902" spans="1:4" ht="15.75" thickBot="1" x14ac:dyDescent="0.3">
      <c r="A902" s="10" t="s">
        <v>1771</v>
      </c>
      <c r="B902" s="10">
        <v>68</v>
      </c>
      <c r="C902" s="10" t="s">
        <v>1575</v>
      </c>
      <c r="D902" s="10">
        <v>655</v>
      </c>
    </row>
    <row r="903" spans="1:4" ht="15.75" thickBot="1" x14ac:dyDescent="0.3">
      <c r="A903" s="10" t="s">
        <v>1771</v>
      </c>
      <c r="B903" s="10">
        <v>68</v>
      </c>
      <c r="C903" s="10" t="s">
        <v>840</v>
      </c>
      <c r="D903" s="10">
        <v>669</v>
      </c>
    </row>
    <row r="904" spans="1:4" ht="15.75" thickBot="1" x14ac:dyDescent="0.3">
      <c r="A904" s="10" t="s">
        <v>1771</v>
      </c>
      <c r="B904" s="10">
        <v>68</v>
      </c>
      <c r="C904" s="10" t="s">
        <v>1576</v>
      </c>
      <c r="D904" s="10">
        <v>673</v>
      </c>
    </row>
    <row r="905" spans="1:4" ht="15.75" thickBot="1" x14ac:dyDescent="0.3">
      <c r="A905" s="10" t="s">
        <v>1771</v>
      </c>
      <c r="B905" s="10">
        <v>68</v>
      </c>
      <c r="C905" s="10" t="s">
        <v>1577</v>
      </c>
      <c r="D905" s="10">
        <v>679</v>
      </c>
    </row>
    <row r="906" spans="1:4" ht="15.75" thickBot="1" x14ac:dyDescent="0.3">
      <c r="A906" s="10" t="s">
        <v>1771</v>
      </c>
      <c r="B906" s="10">
        <v>68</v>
      </c>
      <c r="C906" s="10" t="s">
        <v>1578</v>
      </c>
      <c r="D906" s="10">
        <v>682</v>
      </c>
    </row>
    <row r="907" spans="1:4" ht="15.75" thickBot="1" x14ac:dyDescent="0.3">
      <c r="A907" s="10" t="s">
        <v>1771</v>
      </c>
      <c r="B907" s="10">
        <v>68</v>
      </c>
      <c r="C907" s="10" t="s">
        <v>1579</v>
      </c>
      <c r="D907" s="10">
        <v>684</v>
      </c>
    </row>
    <row r="908" spans="1:4" ht="15.75" thickBot="1" x14ac:dyDescent="0.3">
      <c r="A908" s="10" t="s">
        <v>1771</v>
      </c>
      <c r="B908" s="10">
        <v>68</v>
      </c>
      <c r="C908" s="10" t="s">
        <v>1580</v>
      </c>
      <c r="D908" s="10">
        <v>686</v>
      </c>
    </row>
    <row r="909" spans="1:4" ht="15.75" thickBot="1" x14ac:dyDescent="0.3">
      <c r="A909" s="10" t="s">
        <v>1771</v>
      </c>
      <c r="B909" s="10">
        <v>68</v>
      </c>
      <c r="C909" s="10" t="s">
        <v>1581</v>
      </c>
      <c r="D909" s="10">
        <v>689</v>
      </c>
    </row>
    <row r="910" spans="1:4" ht="15.75" thickBot="1" x14ac:dyDescent="0.3">
      <c r="A910" s="10" t="s">
        <v>1771</v>
      </c>
      <c r="B910" s="10">
        <v>68</v>
      </c>
      <c r="C910" s="10" t="s">
        <v>852</v>
      </c>
      <c r="D910" s="10">
        <v>705</v>
      </c>
    </row>
    <row r="911" spans="1:4" ht="15.75" thickBot="1" x14ac:dyDescent="0.3">
      <c r="A911" s="10" t="s">
        <v>1771</v>
      </c>
      <c r="B911" s="10">
        <v>68</v>
      </c>
      <c r="C911" s="10" t="s">
        <v>1582</v>
      </c>
      <c r="D911" s="10">
        <v>720</v>
      </c>
    </row>
    <row r="912" spans="1:4" ht="15.75" thickBot="1" x14ac:dyDescent="0.3">
      <c r="A912" s="10" t="s">
        <v>1771</v>
      </c>
      <c r="B912" s="10">
        <v>68</v>
      </c>
      <c r="C912" s="10" t="s">
        <v>1583</v>
      </c>
      <c r="D912" s="10">
        <v>745</v>
      </c>
    </row>
    <row r="913" spans="1:4" ht="15.75" thickBot="1" x14ac:dyDescent="0.3">
      <c r="A913" s="10" t="s">
        <v>1771</v>
      </c>
      <c r="B913" s="10">
        <v>68</v>
      </c>
      <c r="C913" s="10" t="s">
        <v>1584</v>
      </c>
      <c r="D913" s="10">
        <v>755</v>
      </c>
    </row>
    <row r="914" spans="1:4" ht="15.75" thickBot="1" x14ac:dyDescent="0.3">
      <c r="A914" s="10" t="s">
        <v>1771</v>
      </c>
      <c r="B914" s="10">
        <v>68</v>
      </c>
      <c r="C914" s="10" t="s">
        <v>1585</v>
      </c>
      <c r="D914" s="10">
        <v>770</v>
      </c>
    </row>
    <row r="915" spans="1:4" ht="15.75" thickBot="1" x14ac:dyDescent="0.3">
      <c r="A915" s="10" t="s">
        <v>1771</v>
      </c>
      <c r="B915" s="10">
        <v>68</v>
      </c>
      <c r="C915" s="10" t="s">
        <v>1586</v>
      </c>
      <c r="D915" s="10">
        <v>773</v>
      </c>
    </row>
    <row r="916" spans="1:4" ht="15.75" thickBot="1" x14ac:dyDescent="0.3">
      <c r="A916" s="10" t="s">
        <v>1771</v>
      </c>
      <c r="B916" s="10">
        <v>68</v>
      </c>
      <c r="C916" s="10" t="s">
        <v>1587</v>
      </c>
      <c r="D916" s="10">
        <v>780</v>
      </c>
    </row>
    <row r="917" spans="1:4" ht="15.75" thickBot="1" x14ac:dyDescent="0.3">
      <c r="A917" s="10" t="s">
        <v>1771</v>
      </c>
      <c r="B917" s="10">
        <v>68</v>
      </c>
      <c r="C917" s="10" t="s">
        <v>1588</v>
      </c>
      <c r="D917" s="10">
        <v>820</v>
      </c>
    </row>
    <row r="918" spans="1:4" ht="15.75" thickBot="1" x14ac:dyDescent="0.3">
      <c r="A918" s="10" t="s">
        <v>1771</v>
      </c>
      <c r="B918" s="10">
        <v>68</v>
      </c>
      <c r="C918" s="10" t="s">
        <v>1589</v>
      </c>
      <c r="D918" s="10">
        <v>855</v>
      </c>
    </row>
    <row r="919" spans="1:4" ht="15.75" thickBot="1" x14ac:dyDescent="0.3">
      <c r="A919" s="10" t="s">
        <v>1771</v>
      </c>
      <c r="B919" s="10">
        <v>68</v>
      </c>
      <c r="C919" s="10" t="s">
        <v>1590</v>
      </c>
      <c r="D919" s="10">
        <v>861</v>
      </c>
    </row>
    <row r="920" spans="1:4" ht="15.75" thickBot="1" x14ac:dyDescent="0.3">
      <c r="A920" s="10" t="s">
        <v>1771</v>
      </c>
      <c r="B920" s="10">
        <v>68</v>
      </c>
      <c r="C920" s="10" t="s">
        <v>1591</v>
      </c>
      <c r="D920" s="10">
        <v>867</v>
      </c>
    </row>
    <row r="921" spans="1:4" ht="15.75" thickBot="1" x14ac:dyDescent="0.3">
      <c r="A921" s="10" t="s">
        <v>1771</v>
      </c>
      <c r="B921" s="10">
        <v>68</v>
      </c>
      <c r="C921" s="10" t="s">
        <v>940</v>
      </c>
      <c r="D921" s="10">
        <v>872</v>
      </c>
    </row>
    <row r="922" spans="1:4" ht="15.75" thickBot="1" x14ac:dyDescent="0.3">
      <c r="A922" s="10" t="s">
        <v>1771</v>
      </c>
      <c r="B922" s="10">
        <v>68</v>
      </c>
      <c r="C922" s="10" t="s">
        <v>1592</v>
      </c>
      <c r="D922" s="10">
        <v>895</v>
      </c>
    </row>
    <row r="923" spans="1:4" ht="15.75" thickBot="1" x14ac:dyDescent="0.3">
      <c r="A923" s="10" t="s">
        <v>1586</v>
      </c>
      <c r="B923" s="10">
        <v>70</v>
      </c>
      <c r="C923" s="10" t="s">
        <v>1593</v>
      </c>
      <c r="D923" s="10">
        <v>1</v>
      </c>
    </row>
    <row r="924" spans="1:4" ht="15.75" thickBot="1" x14ac:dyDescent="0.3">
      <c r="A924" s="10" t="s">
        <v>1586</v>
      </c>
      <c r="B924" s="10">
        <v>70</v>
      </c>
      <c r="C924" s="10" t="s">
        <v>951</v>
      </c>
      <c r="D924" s="10">
        <v>110</v>
      </c>
    </row>
    <row r="925" spans="1:4" ht="15.75" thickBot="1" x14ac:dyDescent="0.3">
      <c r="A925" s="10" t="s">
        <v>1586</v>
      </c>
      <c r="B925" s="10">
        <v>70</v>
      </c>
      <c r="C925" s="10" t="s">
        <v>1594</v>
      </c>
      <c r="D925" s="10">
        <v>124</v>
      </c>
    </row>
    <row r="926" spans="1:4" ht="15.75" thickBot="1" x14ac:dyDescent="0.3">
      <c r="A926" s="10" t="s">
        <v>1586</v>
      </c>
      <c r="B926" s="10">
        <v>70</v>
      </c>
      <c r="C926" s="10" t="s">
        <v>1595</v>
      </c>
      <c r="D926" s="10">
        <v>204</v>
      </c>
    </row>
    <row r="927" spans="1:4" ht="15.75" thickBot="1" x14ac:dyDescent="0.3">
      <c r="A927" s="10" t="s">
        <v>1586</v>
      </c>
      <c r="B927" s="10">
        <v>70</v>
      </c>
      <c r="C927" s="10" t="s">
        <v>1596</v>
      </c>
      <c r="D927" s="10">
        <v>215</v>
      </c>
    </row>
    <row r="928" spans="1:4" ht="15.75" thickBot="1" x14ac:dyDescent="0.3">
      <c r="A928" s="10" t="s">
        <v>1586</v>
      </c>
      <c r="B928" s="10">
        <v>70</v>
      </c>
      <c r="C928" s="10" t="s">
        <v>1597</v>
      </c>
      <c r="D928" s="10">
        <v>230</v>
      </c>
    </row>
    <row r="929" spans="1:4" ht="15.75" thickBot="1" x14ac:dyDescent="0.3">
      <c r="A929" s="10" t="s">
        <v>1586</v>
      </c>
      <c r="B929" s="10">
        <v>70</v>
      </c>
      <c r="C929" s="10" t="s">
        <v>1598</v>
      </c>
      <c r="D929" s="10">
        <v>235</v>
      </c>
    </row>
    <row r="930" spans="1:4" ht="15.75" thickBot="1" x14ac:dyDescent="0.3">
      <c r="A930" s="10" t="s">
        <v>1586</v>
      </c>
      <c r="B930" s="10">
        <v>70</v>
      </c>
      <c r="C930" s="10" t="s">
        <v>1599</v>
      </c>
      <c r="D930" s="10">
        <v>265</v>
      </c>
    </row>
    <row r="931" spans="1:4" ht="15.75" thickBot="1" x14ac:dyDescent="0.3">
      <c r="A931" s="10" t="s">
        <v>1586</v>
      </c>
      <c r="B931" s="10">
        <v>70</v>
      </c>
      <c r="C931" s="10" t="s">
        <v>817</v>
      </c>
      <c r="D931" s="10">
        <v>400</v>
      </c>
    </row>
    <row r="932" spans="1:4" ht="15.75" thickBot="1" x14ac:dyDescent="0.3">
      <c r="A932" s="10" t="s">
        <v>1586</v>
      </c>
      <c r="B932" s="10">
        <v>70</v>
      </c>
      <c r="C932" s="10" t="s">
        <v>1600</v>
      </c>
      <c r="D932" s="10">
        <v>418</v>
      </c>
    </row>
    <row r="933" spans="1:4" ht="15.75" thickBot="1" x14ac:dyDescent="0.3">
      <c r="A933" s="10" t="s">
        <v>1586</v>
      </c>
      <c r="B933" s="10">
        <v>70</v>
      </c>
      <c r="C933" s="10" t="s">
        <v>1601</v>
      </c>
      <c r="D933" s="10">
        <v>429</v>
      </c>
    </row>
    <row r="934" spans="1:4" ht="15.75" thickBot="1" x14ac:dyDescent="0.3">
      <c r="A934" s="10" t="s">
        <v>1586</v>
      </c>
      <c r="B934" s="10">
        <v>70</v>
      </c>
      <c r="C934" s="10" t="s">
        <v>1602</v>
      </c>
      <c r="D934" s="10">
        <v>473</v>
      </c>
    </row>
    <row r="935" spans="1:4" ht="15.75" thickBot="1" x14ac:dyDescent="0.3">
      <c r="A935" s="10" t="s">
        <v>1586</v>
      </c>
      <c r="B935" s="10">
        <v>70</v>
      </c>
      <c r="C935" s="10" t="s">
        <v>1603</v>
      </c>
      <c r="D935" s="10">
        <v>508</v>
      </c>
    </row>
    <row r="936" spans="1:4" ht="15.75" thickBot="1" x14ac:dyDescent="0.3">
      <c r="A936" s="10" t="s">
        <v>1586</v>
      </c>
      <c r="B936" s="10">
        <v>70</v>
      </c>
      <c r="C936" s="10" t="s">
        <v>1604</v>
      </c>
      <c r="D936" s="10">
        <v>523</v>
      </c>
    </row>
    <row r="937" spans="1:4" ht="15.75" thickBot="1" x14ac:dyDescent="0.3">
      <c r="A937" s="10" t="s">
        <v>1586</v>
      </c>
      <c r="B937" s="10">
        <v>70</v>
      </c>
      <c r="C937" s="10" t="s">
        <v>1605</v>
      </c>
      <c r="D937" s="10">
        <v>670</v>
      </c>
    </row>
    <row r="938" spans="1:4" ht="15.75" thickBot="1" x14ac:dyDescent="0.3">
      <c r="A938" s="10" t="s">
        <v>1586</v>
      </c>
      <c r="B938" s="10">
        <v>70</v>
      </c>
      <c r="C938" s="10" t="s">
        <v>1606</v>
      </c>
      <c r="D938" s="10">
        <v>678</v>
      </c>
    </row>
    <row r="939" spans="1:4" ht="15.75" thickBot="1" x14ac:dyDescent="0.3">
      <c r="A939" s="10" t="s">
        <v>1586</v>
      </c>
      <c r="B939" s="10">
        <v>70</v>
      </c>
      <c r="C939" s="10" t="s">
        <v>1607</v>
      </c>
      <c r="D939" s="10">
        <v>702</v>
      </c>
    </row>
    <row r="940" spans="1:4" ht="15.75" thickBot="1" x14ac:dyDescent="0.3">
      <c r="A940" s="10" t="s">
        <v>1586</v>
      </c>
      <c r="B940" s="10">
        <v>70</v>
      </c>
      <c r="C940" s="10" t="s">
        <v>1608</v>
      </c>
      <c r="D940" s="10">
        <v>708</v>
      </c>
    </row>
    <row r="941" spans="1:4" ht="15.75" thickBot="1" x14ac:dyDescent="0.3">
      <c r="A941" s="10" t="s">
        <v>1586</v>
      </c>
      <c r="B941" s="10">
        <v>70</v>
      </c>
      <c r="C941" s="10" t="s">
        <v>1609</v>
      </c>
      <c r="D941" s="10">
        <v>713</v>
      </c>
    </row>
    <row r="942" spans="1:4" ht="15.75" thickBot="1" x14ac:dyDescent="0.3">
      <c r="A942" s="10" t="s">
        <v>1586</v>
      </c>
      <c r="B942" s="10">
        <v>70</v>
      </c>
      <c r="C942" s="10" t="s">
        <v>847</v>
      </c>
      <c r="D942" s="10">
        <v>717</v>
      </c>
    </row>
    <row r="943" spans="1:4" ht="15.75" thickBot="1" x14ac:dyDescent="0.3">
      <c r="A943" s="10" t="s">
        <v>1586</v>
      </c>
      <c r="B943" s="10">
        <v>70</v>
      </c>
      <c r="C943" s="10" t="s">
        <v>1610</v>
      </c>
      <c r="D943" s="10">
        <v>742</v>
      </c>
    </row>
    <row r="944" spans="1:4" ht="15.75" thickBot="1" x14ac:dyDescent="0.3">
      <c r="A944" s="10" t="s">
        <v>1586</v>
      </c>
      <c r="B944" s="10">
        <v>70</v>
      </c>
      <c r="C944" s="10" t="s">
        <v>1586</v>
      </c>
      <c r="D944" s="10">
        <v>771</v>
      </c>
    </row>
    <row r="945" spans="1:4" ht="15.75" thickBot="1" x14ac:dyDescent="0.3">
      <c r="A945" s="10" t="s">
        <v>1586</v>
      </c>
      <c r="B945" s="10">
        <v>70</v>
      </c>
      <c r="C945" s="10" t="s">
        <v>1611</v>
      </c>
      <c r="D945" s="10">
        <v>820</v>
      </c>
    </row>
    <row r="946" spans="1:4" ht="15.75" thickBot="1" x14ac:dyDescent="0.3">
      <c r="A946" s="10" t="s">
        <v>1586</v>
      </c>
      <c r="B946" s="10">
        <v>70</v>
      </c>
      <c r="C946" s="10" t="s">
        <v>1612</v>
      </c>
      <c r="D946" s="10">
        <v>823</v>
      </c>
    </row>
    <row r="947" spans="1:4" ht="15.75" thickBot="1" x14ac:dyDescent="0.3">
      <c r="A947" s="10" t="s">
        <v>1772</v>
      </c>
      <c r="B947" s="10">
        <v>73</v>
      </c>
      <c r="C947" s="10" t="s">
        <v>1613</v>
      </c>
      <c r="D947" s="10">
        <v>1</v>
      </c>
    </row>
    <row r="948" spans="1:4" ht="15.75" thickBot="1" x14ac:dyDescent="0.3">
      <c r="A948" s="10" t="s">
        <v>1772</v>
      </c>
      <c r="B948" s="10">
        <v>73</v>
      </c>
      <c r="C948" s="10" t="s">
        <v>1614</v>
      </c>
      <c r="D948" s="10">
        <v>24</v>
      </c>
    </row>
    <row r="949" spans="1:4" ht="15.75" thickBot="1" x14ac:dyDescent="0.3">
      <c r="A949" s="10" t="s">
        <v>1772</v>
      </c>
      <c r="B949" s="10">
        <v>73</v>
      </c>
      <c r="C949" s="10" t="s">
        <v>1615</v>
      </c>
      <c r="D949" s="10">
        <v>26</v>
      </c>
    </row>
    <row r="950" spans="1:4" ht="15.75" thickBot="1" x14ac:dyDescent="0.3">
      <c r="A950" s="10" t="s">
        <v>1772</v>
      </c>
      <c r="B950" s="10">
        <v>73</v>
      </c>
      <c r="C950" s="10" t="s">
        <v>1616</v>
      </c>
      <c r="D950" s="10">
        <v>30</v>
      </c>
    </row>
    <row r="951" spans="1:4" ht="15.75" thickBot="1" x14ac:dyDescent="0.3">
      <c r="A951" s="10" t="s">
        <v>1772</v>
      </c>
      <c r="B951" s="10">
        <v>73</v>
      </c>
      <c r="C951" s="10" t="s">
        <v>1617</v>
      </c>
      <c r="D951" s="10">
        <v>43</v>
      </c>
    </row>
    <row r="952" spans="1:4" ht="15.75" thickBot="1" x14ac:dyDescent="0.3">
      <c r="A952" s="10" t="s">
        <v>1772</v>
      </c>
      <c r="B952" s="10">
        <v>73</v>
      </c>
      <c r="C952" s="10" t="s">
        <v>1618</v>
      </c>
      <c r="D952" s="10">
        <v>55</v>
      </c>
    </row>
    <row r="953" spans="1:4" ht="15.75" thickBot="1" x14ac:dyDescent="0.3">
      <c r="A953" s="10" t="s">
        <v>1772</v>
      </c>
      <c r="B953" s="10">
        <v>73</v>
      </c>
      <c r="C953" s="10" t="s">
        <v>1619</v>
      </c>
      <c r="D953" s="10">
        <v>67</v>
      </c>
    </row>
    <row r="954" spans="1:4" ht="15.75" thickBot="1" x14ac:dyDescent="0.3">
      <c r="A954" s="10" t="s">
        <v>1772</v>
      </c>
      <c r="B954" s="10">
        <v>73</v>
      </c>
      <c r="C954" s="10" t="s">
        <v>1620</v>
      </c>
      <c r="D954" s="10">
        <v>124</v>
      </c>
    </row>
    <row r="955" spans="1:4" ht="15.75" thickBot="1" x14ac:dyDescent="0.3">
      <c r="A955" s="10" t="s">
        <v>1772</v>
      </c>
      <c r="B955" s="10">
        <v>73</v>
      </c>
      <c r="C955" s="10" t="s">
        <v>1621</v>
      </c>
      <c r="D955" s="10">
        <v>148</v>
      </c>
    </row>
    <row r="956" spans="1:4" ht="15.75" thickBot="1" x14ac:dyDescent="0.3">
      <c r="A956" s="10" t="s">
        <v>1772</v>
      </c>
      <c r="B956" s="10">
        <v>73</v>
      </c>
      <c r="C956" s="10" t="s">
        <v>1622</v>
      </c>
      <c r="D956" s="10">
        <v>152</v>
      </c>
    </row>
    <row r="957" spans="1:4" ht="15.75" thickBot="1" x14ac:dyDescent="0.3">
      <c r="A957" s="10" t="s">
        <v>1772</v>
      </c>
      <c r="B957" s="10">
        <v>73</v>
      </c>
      <c r="C957" s="10" t="s">
        <v>1623</v>
      </c>
      <c r="D957" s="10">
        <v>168</v>
      </c>
    </row>
    <row r="958" spans="1:4" ht="15.75" thickBot="1" x14ac:dyDescent="0.3">
      <c r="A958" s="10" t="s">
        <v>1772</v>
      </c>
      <c r="B958" s="10">
        <v>73</v>
      </c>
      <c r="C958" s="10" t="s">
        <v>1624</v>
      </c>
      <c r="D958" s="10">
        <v>200</v>
      </c>
    </row>
    <row r="959" spans="1:4" ht="15.75" thickBot="1" x14ac:dyDescent="0.3">
      <c r="A959" s="10" t="s">
        <v>1772</v>
      </c>
      <c r="B959" s="10">
        <v>73</v>
      </c>
      <c r="C959" s="10" t="s">
        <v>1625</v>
      </c>
      <c r="D959" s="10">
        <v>217</v>
      </c>
    </row>
    <row r="960" spans="1:4" ht="15.75" thickBot="1" x14ac:dyDescent="0.3">
      <c r="A960" s="10" t="s">
        <v>1772</v>
      </c>
      <c r="B960" s="10">
        <v>73</v>
      </c>
      <c r="C960" s="10" t="s">
        <v>1626</v>
      </c>
      <c r="D960" s="10">
        <v>226</v>
      </c>
    </row>
    <row r="961" spans="1:4" ht="15.75" thickBot="1" x14ac:dyDescent="0.3">
      <c r="A961" s="10" t="s">
        <v>1772</v>
      </c>
      <c r="B961" s="10">
        <v>73</v>
      </c>
      <c r="C961" s="10" t="s">
        <v>1627</v>
      </c>
      <c r="D961" s="10">
        <v>236</v>
      </c>
    </row>
    <row r="962" spans="1:4" ht="15.75" thickBot="1" x14ac:dyDescent="0.3">
      <c r="A962" s="10" t="s">
        <v>1772</v>
      </c>
      <c r="B962" s="10">
        <v>73</v>
      </c>
      <c r="C962" s="10" t="s">
        <v>1628</v>
      </c>
      <c r="D962" s="10">
        <v>268</v>
      </c>
    </row>
    <row r="963" spans="1:4" ht="15.75" thickBot="1" x14ac:dyDescent="0.3">
      <c r="A963" s="10" t="s">
        <v>1772</v>
      </c>
      <c r="B963" s="10">
        <v>73</v>
      </c>
      <c r="C963" s="10" t="s">
        <v>1629</v>
      </c>
      <c r="D963" s="10">
        <v>270</v>
      </c>
    </row>
    <row r="964" spans="1:4" ht="15.75" thickBot="1" x14ac:dyDescent="0.3">
      <c r="A964" s="10" t="s">
        <v>1772</v>
      </c>
      <c r="B964" s="10">
        <v>73</v>
      </c>
      <c r="C964" s="10" t="s">
        <v>1630</v>
      </c>
      <c r="D964" s="10">
        <v>275</v>
      </c>
    </row>
    <row r="965" spans="1:4" ht="15.75" thickBot="1" x14ac:dyDescent="0.3">
      <c r="A965" s="10" t="s">
        <v>1772</v>
      </c>
      <c r="B965" s="10">
        <v>73</v>
      </c>
      <c r="C965" s="10" t="s">
        <v>1631</v>
      </c>
      <c r="D965" s="10">
        <v>283</v>
      </c>
    </row>
    <row r="966" spans="1:4" ht="15.75" thickBot="1" x14ac:dyDescent="0.3">
      <c r="A966" s="10" t="s">
        <v>1772</v>
      </c>
      <c r="B966" s="10">
        <v>73</v>
      </c>
      <c r="C966" s="10" t="s">
        <v>1632</v>
      </c>
      <c r="D966" s="10">
        <v>319</v>
      </c>
    </row>
    <row r="967" spans="1:4" ht="15.75" thickBot="1" x14ac:dyDescent="0.3">
      <c r="A967" s="10" t="s">
        <v>1772</v>
      </c>
      <c r="B967" s="10">
        <v>73</v>
      </c>
      <c r="C967" s="10" t="s">
        <v>1633</v>
      </c>
      <c r="D967" s="10">
        <v>347</v>
      </c>
    </row>
    <row r="968" spans="1:4" ht="15.75" thickBot="1" x14ac:dyDescent="0.3">
      <c r="A968" s="10" t="s">
        <v>1772</v>
      </c>
      <c r="B968" s="10">
        <v>73</v>
      </c>
      <c r="C968" s="10" t="s">
        <v>1634</v>
      </c>
      <c r="D968" s="10">
        <v>349</v>
      </c>
    </row>
    <row r="969" spans="1:4" ht="15.75" thickBot="1" x14ac:dyDescent="0.3">
      <c r="A969" s="10" t="s">
        <v>1772</v>
      </c>
      <c r="B969" s="10">
        <v>73</v>
      </c>
      <c r="C969" s="10" t="s">
        <v>1635</v>
      </c>
      <c r="D969" s="10">
        <v>352</v>
      </c>
    </row>
    <row r="970" spans="1:4" ht="15.75" thickBot="1" x14ac:dyDescent="0.3">
      <c r="A970" s="10" t="s">
        <v>1772</v>
      </c>
      <c r="B970" s="10">
        <v>73</v>
      </c>
      <c r="C970" s="10" t="s">
        <v>1636</v>
      </c>
      <c r="D970" s="10">
        <v>408</v>
      </c>
    </row>
    <row r="971" spans="1:4" ht="15.75" thickBot="1" x14ac:dyDescent="0.3">
      <c r="A971" s="10" t="s">
        <v>1772</v>
      </c>
      <c r="B971" s="10">
        <v>73</v>
      </c>
      <c r="C971" s="10" t="s">
        <v>1637</v>
      </c>
      <c r="D971" s="10">
        <v>411</v>
      </c>
    </row>
    <row r="972" spans="1:4" ht="15.75" thickBot="1" x14ac:dyDescent="0.3">
      <c r="A972" s="10" t="s">
        <v>1772</v>
      </c>
      <c r="B972" s="10">
        <v>73</v>
      </c>
      <c r="C972" s="10" t="s">
        <v>1638</v>
      </c>
      <c r="D972" s="10">
        <v>443</v>
      </c>
    </row>
    <row r="973" spans="1:4" ht="15.75" thickBot="1" x14ac:dyDescent="0.3">
      <c r="A973" s="10" t="s">
        <v>1772</v>
      </c>
      <c r="B973" s="10">
        <v>73</v>
      </c>
      <c r="C973" s="10" t="s">
        <v>1639</v>
      </c>
      <c r="D973" s="10">
        <v>449</v>
      </c>
    </row>
    <row r="974" spans="1:4" ht="15.75" thickBot="1" x14ac:dyDescent="0.3">
      <c r="A974" s="10" t="s">
        <v>1772</v>
      </c>
      <c r="B974" s="10">
        <v>73</v>
      </c>
      <c r="C974" s="10" t="s">
        <v>1640</v>
      </c>
      <c r="D974" s="10">
        <v>461</v>
      </c>
    </row>
    <row r="975" spans="1:4" ht="15.75" thickBot="1" x14ac:dyDescent="0.3">
      <c r="A975" s="10" t="s">
        <v>1772</v>
      </c>
      <c r="B975" s="10">
        <v>73</v>
      </c>
      <c r="C975" s="10" t="s">
        <v>1641</v>
      </c>
      <c r="D975" s="10">
        <v>483</v>
      </c>
    </row>
    <row r="976" spans="1:4" ht="15.75" thickBot="1" x14ac:dyDescent="0.3">
      <c r="A976" s="10" t="s">
        <v>1772</v>
      </c>
      <c r="B976" s="10">
        <v>73</v>
      </c>
      <c r="C976" s="10" t="s">
        <v>1642</v>
      </c>
      <c r="D976" s="10">
        <v>504</v>
      </c>
    </row>
    <row r="977" spans="1:4" ht="15.75" thickBot="1" x14ac:dyDescent="0.3">
      <c r="A977" s="10" t="s">
        <v>1772</v>
      </c>
      <c r="B977" s="10">
        <v>73</v>
      </c>
      <c r="C977" s="10" t="s">
        <v>1643</v>
      </c>
      <c r="D977" s="10">
        <v>520</v>
      </c>
    </row>
    <row r="978" spans="1:4" ht="15.75" thickBot="1" x14ac:dyDescent="0.3">
      <c r="A978" s="10" t="s">
        <v>1772</v>
      </c>
      <c r="B978" s="10">
        <v>73</v>
      </c>
      <c r="C978" s="10" t="s">
        <v>1644</v>
      </c>
      <c r="D978" s="10">
        <v>547</v>
      </c>
    </row>
    <row r="979" spans="1:4" ht="15.75" thickBot="1" x14ac:dyDescent="0.3">
      <c r="A979" s="10" t="s">
        <v>1772</v>
      </c>
      <c r="B979" s="10">
        <v>73</v>
      </c>
      <c r="C979" s="10" t="s">
        <v>1645</v>
      </c>
      <c r="D979" s="10">
        <v>555</v>
      </c>
    </row>
    <row r="980" spans="1:4" ht="15.75" thickBot="1" x14ac:dyDescent="0.3">
      <c r="A980" s="10" t="s">
        <v>1772</v>
      </c>
      <c r="B980" s="10">
        <v>73</v>
      </c>
      <c r="C980" s="10" t="s">
        <v>1646</v>
      </c>
      <c r="D980" s="10">
        <v>563</v>
      </c>
    </row>
    <row r="981" spans="1:4" ht="15.75" thickBot="1" x14ac:dyDescent="0.3">
      <c r="A981" s="10" t="s">
        <v>1772</v>
      </c>
      <c r="B981" s="10">
        <v>73</v>
      </c>
      <c r="C981" s="10" t="s">
        <v>1647</v>
      </c>
      <c r="D981" s="10">
        <v>585</v>
      </c>
    </row>
    <row r="982" spans="1:4" ht="15.75" thickBot="1" x14ac:dyDescent="0.3">
      <c r="A982" s="10" t="s">
        <v>1772</v>
      </c>
      <c r="B982" s="10">
        <v>73</v>
      </c>
      <c r="C982" s="10" t="s">
        <v>1648</v>
      </c>
      <c r="D982" s="10">
        <v>616</v>
      </c>
    </row>
    <row r="983" spans="1:4" ht="15.75" thickBot="1" x14ac:dyDescent="0.3">
      <c r="A983" s="10" t="s">
        <v>1772</v>
      </c>
      <c r="B983" s="10">
        <v>73</v>
      </c>
      <c r="C983" s="10" t="s">
        <v>1649</v>
      </c>
      <c r="D983" s="10">
        <v>622</v>
      </c>
    </row>
    <row r="984" spans="1:4" ht="15.75" thickBot="1" x14ac:dyDescent="0.3">
      <c r="A984" s="10" t="s">
        <v>1772</v>
      </c>
      <c r="B984" s="10">
        <v>73</v>
      </c>
      <c r="C984" s="10" t="s">
        <v>1650</v>
      </c>
      <c r="D984" s="10">
        <v>624</v>
      </c>
    </row>
    <row r="985" spans="1:4" ht="15.75" thickBot="1" x14ac:dyDescent="0.3">
      <c r="A985" s="10" t="s">
        <v>1772</v>
      </c>
      <c r="B985" s="10">
        <v>73</v>
      </c>
      <c r="C985" s="10" t="s">
        <v>1651</v>
      </c>
      <c r="D985" s="10">
        <v>671</v>
      </c>
    </row>
    <row r="986" spans="1:4" ht="15.75" thickBot="1" x14ac:dyDescent="0.3">
      <c r="A986" s="10" t="s">
        <v>1772</v>
      </c>
      <c r="B986" s="10">
        <v>73</v>
      </c>
      <c r="C986" s="10" t="s">
        <v>1652</v>
      </c>
      <c r="D986" s="10">
        <v>675</v>
      </c>
    </row>
    <row r="987" spans="1:4" ht="15.75" thickBot="1" x14ac:dyDescent="0.3">
      <c r="A987" s="10" t="s">
        <v>1772</v>
      </c>
      <c r="B987" s="10">
        <v>73</v>
      </c>
      <c r="C987" s="10" t="s">
        <v>846</v>
      </c>
      <c r="D987" s="10">
        <v>678</v>
      </c>
    </row>
    <row r="988" spans="1:4" ht="15.75" thickBot="1" x14ac:dyDescent="0.3">
      <c r="A988" s="10" t="s">
        <v>1772</v>
      </c>
      <c r="B988" s="10">
        <v>73</v>
      </c>
      <c r="C988" s="10" t="s">
        <v>1653</v>
      </c>
      <c r="D988" s="10">
        <v>686</v>
      </c>
    </row>
    <row r="989" spans="1:4" ht="15.75" thickBot="1" x14ac:dyDescent="0.3">
      <c r="A989" s="10" t="s">
        <v>1772</v>
      </c>
      <c r="B989" s="10">
        <v>73</v>
      </c>
      <c r="C989" s="10" t="s">
        <v>1132</v>
      </c>
      <c r="D989" s="10">
        <v>770</v>
      </c>
    </row>
    <row r="990" spans="1:4" ht="15.75" thickBot="1" x14ac:dyDescent="0.3">
      <c r="A990" s="10" t="s">
        <v>1772</v>
      </c>
      <c r="B990" s="10">
        <v>73</v>
      </c>
      <c r="C990" s="10" t="s">
        <v>1654</v>
      </c>
      <c r="D990" s="10">
        <v>854</v>
      </c>
    </row>
    <row r="991" spans="1:4" ht="15.75" thickBot="1" x14ac:dyDescent="0.3">
      <c r="A991" s="10" t="s">
        <v>1772</v>
      </c>
      <c r="B991" s="10">
        <v>73</v>
      </c>
      <c r="C991" s="10" t="s">
        <v>1655</v>
      </c>
      <c r="D991" s="10">
        <v>861</v>
      </c>
    </row>
    <row r="992" spans="1:4" ht="15.75" thickBot="1" x14ac:dyDescent="0.3">
      <c r="A992" s="10" t="s">
        <v>1772</v>
      </c>
      <c r="B992" s="10">
        <v>73</v>
      </c>
      <c r="C992" s="10" t="s">
        <v>1656</v>
      </c>
      <c r="D992" s="10">
        <v>870</v>
      </c>
    </row>
    <row r="993" spans="1:4" ht="15.75" thickBot="1" x14ac:dyDescent="0.3">
      <c r="A993" s="10" t="s">
        <v>1772</v>
      </c>
      <c r="B993" s="10">
        <v>73</v>
      </c>
      <c r="C993" s="10" t="s">
        <v>1657</v>
      </c>
      <c r="D993" s="10">
        <v>873</v>
      </c>
    </row>
    <row r="994" spans="1:4" ht="15.75" thickBot="1" x14ac:dyDescent="0.3">
      <c r="A994" s="1" t="s">
        <v>1790</v>
      </c>
      <c r="B994" s="10">
        <v>76</v>
      </c>
      <c r="C994" s="10" t="s">
        <v>1658</v>
      </c>
      <c r="D994" s="10">
        <v>1</v>
      </c>
    </row>
    <row r="995" spans="1:4" ht="15.75" thickBot="1" x14ac:dyDescent="0.3">
      <c r="A995" s="1" t="s">
        <v>1790</v>
      </c>
      <c r="B995" s="10">
        <v>76</v>
      </c>
      <c r="C995" s="10" t="s">
        <v>1659</v>
      </c>
      <c r="D995" s="10">
        <v>20</v>
      </c>
    </row>
    <row r="996" spans="1:4" ht="15.75" thickBot="1" x14ac:dyDescent="0.3">
      <c r="A996" s="1" t="s">
        <v>1790</v>
      </c>
      <c r="B996" s="10">
        <v>76</v>
      </c>
      <c r="C996" s="10" t="s">
        <v>1660</v>
      </c>
      <c r="D996" s="10">
        <v>36</v>
      </c>
    </row>
    <row r="997" spans="1:4" ht="15.75" thickBot="1" x14ac:dyDescent="0.3">
      <c r="A997" s="1" t="s">
        <v>1790</v>
      </c>
      <c r="B997" s="10">
        <v>76</v>
      </c>
      <c r="C997" s="10" t="s">
        <v>1661</v>
      </c>
      <c r="D997" s="10">
        <v>41</v>
      </c>
    </row>
    <row r="998" spans="1:4" ht="15.75" thickBot="1" x14ac:dyDescent="0.3">
      <c r="A998" s="1" t="s">
        <v>1790</v>
      </c>
      <c r="B998" s="10">
        <v>76</v>
      </c>
      <c r="C998" s="10" t="s">
        <v>766</v>
      </c>
      <c r="D998" s="10">
        <v>54</v>
      </c>
    </row>
    <row r="999" spans="1:4" ht="15.75" thickBot="1" x14ac:dyDescent="0.3">
      <c r="A999" s="1" t="s">
        <v>1790</v>
      </c>
      <c r="B999" s="10">
        <v>76</v>
      </c>
      <c r="C999" s="10" t="s">
        <v>773</v>
      </c>
      <c r="D999" s="10">
        <v>100</v>
      </c>
    </row>
    <row r="1000" spans="1:4" ht="15.75" thickBot="1" x14ac:dyDescent="0.3">
      <c r="A1000" s="1" t="s">
        <v>1790</v>
      </c>
      <c r="B1000" s="10">
        <v>76</v>
      </c>
      <c r="C1000" s="10" t="s">
        <v>1662</v>
      </c>
      <c r="D1000" s="10">
        <v>109</v>
      </c>
    </row>
    <row r="1001" spans="1:4" ht="15.75" thickBot="1" x14ac:dyDescent="0.3">
      <c r="A1001" s="1" t="s">
        <v>1790</v>
      </c>
      <c r="B1001" s="10">
        <v>76</v>
      </c>
      <c r="C1001" s="10" t="s">
        <v>1663</v>
      </c>
      <c r="D1001" s="10">
        <v>111</v>
      </c>
    </row>
    <row r="1002" spans="1:4" ht="15.75" thickBot="1" x14ac:dyDescent="0.3">
      <c r="A1002" s="1" t="s">
        <v>1790</v>
      </c>
      <c r="B1002" s="10">
        <v>76</v>
      </c>
      <c r="C1002" s="10" t="s">
        <v>1664</v>
      </c>
      <c r="D1002" s="10">
        <v>113</v>
      </c>
    </row>
    <row r="1003" spans="1:4" ht="15.75" thickBot="1" x14ac:dyDescent="0.3">
      <c r="A1003" s="1" t="s">
        <v>1790</v>
      </c>
      <c r="B1003" s="10">
        <v>76</v>
      </c>
      <c r="C1003" s="10" t="s">
        <v>1665</v>
      </c>
      <c r="D1003" s="10">
        <v>122</v>
      </c>
    </row>
    <row r="1004" spans="1:4" ht="15.75" thickBot="1" x14ac:dyDescent="0.3">
      <c r="A1004" s="1" t="s">
        <v>1790</v>
      </c>
      <c r="B1004" s="10">
        <v>76</v>
      </c>
      <c r="C1004" s="10" t="s">
        <v>1666</v>
      </c>
      <c r="D1004" s="10">
        <v>126</v>
      </c>
    </row>
    <row r="1005" spans="1:4" ht="15.75" thickBot="1" x14ac:dyDescent="0.3">
      <c r="A1005" s="1" t="s">
        <v>1790</v>
      </c>
      <c r="B1005" s="10">
        <v>76</v>
      </c>
      <c r="C1005" s="10" t="s">
        <v>879</v>
      </c>
      <c r="D1005" s="10">
        <v>130</v>
      </c>
    </row>
    <row r="1006" spans="1:4" ht="15.75" thickBot="1" x14ac:dyDescent="0.3">
      <c r="A1006" s="1" t="s">
        <v>1790</v>
      </c>
      <c r="B1006" s="10">
        <v>76</v>
      </c>
      <c r="C1006" s="10" t="s">
        <v>1667</v>
      </c>
      <c r="D1006" s="10">
        <v>147</v>
      </c>
    </row>
    <row r="1007" spans="1:4" ht="15.75" thickBot="1" x14ac:dyDescent="0.3">
      <c r="A1007" s="1" t="s">
        <v>1790</v>
      </c>
      <c r="B1007" s="10">
        <v>76</v>
      </c>
      <c r="C1007" s="10" t="s">
        <v>1668</v>
      </c>
      <c r="D1007" s="10">
        <v>233</v>
      </c>
    </row>
    <row r="1008" spans="1:4" ht="15.75" thickBot="1" x14ac:dyDescent="0.3">
      <c r="A1008" s="1" t="s">
        <v>1790</v>
      </c>
      <c r="B1008" s="10">
        <v>76</v>
      </c>
      <c r="C1008" s="10" t="s">
        <v>1669</v>
      </c>
      <c r="D1008" s="10">
        <v>243</v>
      </c>
    </row>
    <row r="1009" spans="1:4" ht="15.75" thickBot="1" x14ac:dyDescent="0.3">
      <c r="A1009" s="1" t="s">
        <v>1790</v>
      </c>
      <c r="B1009" s="10">
        <v>76</v>
      </c>
      <c r="C1009" s="10" t="s">
        <v>1670</v>
      </c>
      <c r="D1009" s="10">
        <v>246</v>
      </c>
    </row>
    <row r="1010" spans="1:4" ht="15.75" thickBot="1" x14ac:dyDescent="0.3">
      <c r="A1010" s="1" t="s">
        <v>1790</v>
      </c>
      <c r="B1010" s="10">
        <v>76</v>
      </c>
      <c r="C1010" s="10" t="s">
        <v>1671</v>
      </c>
      <c r="D1010" s="10">
        <v>248</v>
      </c>
    </row>
    <row r="1011" spans="1:4" ht="15.75" thickBot="1" x14ac:dyDescent="0.3">
      <c r="A1011" s="1" t="s">
        <v>1790</v>
      </c>
      <c r="B1011" s="10">
        <v>76</v>
      </c>
      <c r="C1011" s="10" t="s">
        <v>1672</v>
      </c>
      <c r="D1011" s="10">
        <v>250</v>
      </c>
    </row>
    <row r="1012" spans="1:4" ht="15.75" thickBot="1" x14ac:dyDescent="0.3">
      <c r="A1012" s="1" t="s">
        <v>1790</v>
      </c>
      <c r="B1012" s="10">
        <v>76</v>
      </c>
      <c r="C1012" s="10" t="s">
        <v>1673</v>
      </c>
      <c r="D1012" s="10">
        <v>275</v>
      </c>
    </row>
    <row r="1013" spans="1:4" ht="15.75" thickBot="1" x14ac:dyDescent="0.3">
      <c r="A1013" s="1" t="s">
        <v>1790</v>
      </c>
      <c r="B1013" s="10">
        <v>76</v>
      </c>
      <c r="C1013" s="10" t="s">
        <v>1674</v>
      </c>
      <c r="D1013" s="10">
        <v>306</v>
      </c>
    </row>
    <row r="1014" spans="1:4" ht="15.75" thickBot="1" x14ac:dyDescent="0.3">
      <c r="A1014" s="1" t="s">
        <v>1790</v>
      </c>
      <c r="B1014" s="10">
        <v>76</v>
      </c>
      <c r="C1014" s="10" t="s">
        <v>1675</v>
      </c>
      <c r="D1014" s="10">
        <v>318</v>
      </c>
    </row>
    <row r="1015" spans="1:4" ht="15.75" thickBot="1" x14ac:dyDescent="0.3">
      <c r="A1015" s="1" t="s">
        <v>1790</v>
      </c>
      <c r="B1015" s="10">
        <v>76</v>
      </c>
      <c r="C1015" s="10" t="s">
        <v>1676</v>
      </c>
      <c r="D1015" s="10">
        <v>364</v>
      </c>
    </row>
    <row r="1016" spans="1:4" ht="15.75" thickBot="1" x14ac:dyDescent="0.3">
      <c r="A1016" s="1" t="s">
        <v>1790</v>
      </c>
      <c r="B1016" s="10">
        <v>76</v>
      </c>
      <c r="C1016" s="10" t="s">
        <v>1677</v>
      </c>
      <c r="D1016" s="10">
        <v>377</v>
      </c>
    </row>
    <row r="1017" spans="1:4" ht="15.75" thickBot="1" x14ac:dyDescent="0.3">
      <c r="A1017" s="1" t="s">
        <v>1790</v>
      </c>
      <c r="B1017" s="10">
        <v>76</v>
      </c>
      <c r="C1017" s="10" t="s">
        <v>817</v>
      </c>
      <c r="D1017" s="10">
        <v>400</v>
      </c>
    </row>
    <row r="1018" spans="1:4" ht="15.75" thickBot="1" x14ac:dyDescent="0.3">
      <c r="A1018" s="1" t="s">
        <v>1790</v>
      </c>
      <c r="B1018" s="10">
        <v>76</v>
      </c>
      <c r="C1018" s="10" t="s">
        <v>987</v>
      </c>
      <c r="D1018" s="10">
        <v>403</v>
      </c>
    </row>
    <row r="1019" spans="1:4" ht="15.75" thickBot="1" x14ac:dyDescent="0.3">
      <c r="A1019" s="1" t="s">
        <v>1790</v>
      </c>
      <c r="B1019" s="10">
        <v>76</v>
      </c>
      <c r="C1019" s="10" t="s">
        <v>1678</v>
      </c>
      <c r="D1019" s="10">
        <v>497</v>
      </c>
    </row>
    <row r="1020" spans="1:4" ht="15.75" thickBot="1" x14ac:dyDescent="0.3">
      <c r="A1020" s="1" t="s">
        <v>1790</v>
      </c>
      <c r="B1020" s="10">
        <v>76</v>
      </c>
      <c r="C1020" s="10" t="s">
        <v>1679</v>
      </c>
      <c r="D1020" s="10">
        <v>520</v>
      </c>
    </row>
    <row r="1021" spans="1:4" ht="15.75" thickBot="1" x14ac:dyDescent="0.3">
      <c r="A1021" s="1" t="s">
        <v>1790</v>
      </c>
      <c r="B1021" s="10">
        <v>76</v>
      </c>
      <c r="C1021" s="10" t="s">
        <v>1680</v>
      </c>
      <c r="D1021" s="10">
        <v>563</v>
      </c>
    </row>
    <row r="1022" spans="1:4" ht="15.75" thickBot="1" x14ac:dyDescent="0.3">
      <c r="A1022" s="1" t="s">
        <v>1790</v>
      </c>
      <c r="B1022" s="10">
        <v>76</v>
      </c>
      <c r="C1022" s="10" t="s">
        <v>1403</v>
      </c>
      <c r="D1022" s="10">
        <v>606</v>
      </c>
    </row>
    <row r="1023" spans="1:4" ht="15.75" thickBot="1" x14ac:dyDescent="0.3">
      <c r="A1023" s="1" t="s">
        <v>1790</v>
      </c>
      <c r="B1023" s="10">
        <v>76</v>
      </c>
      <c r="C1023" s="10" t="s">
        <v>1681</v>
      </c>
      <c r="D1023" s="10">
        <v>616</v>
      </c>
    </row>
    <row r="1024" spans="1:4" ht="15.75" thickBot="1" x14ac:dyDescent="0.3">
      <c r="A1024" s="1" t="s">
        <v>1790</v>
      </c>
      <c r="B1024" s="10">
        <v>76</v>
      </c>
      <c r="C1024" s="10" t="s">
        <v>1682</v>
      </c>
      <c r="D1024" s="10">
        <v>622</v>
      </c>
    </row>
    <row r="1025" spans="1:4" ht="15.75" thickBot="1" x14ac:dyDescent="0.3">
      <c r="A1025" s="1" t="s">
        <v>1790</v>
      </c>
      <c r="B1025" s="10">
        <v>76</v>
      </c>
      <c r="C1025" s="10" t="s">
        <v>847</v>
      </c>
      <c r="D1025" s="10">
        <v>670</v>
      </c>
    </row>
    <row r="1026" spans="1:4" ht="15.75" thickBot="1" x14ac:dyDescent="0.3">
      <c r="A1026" s="1" t="s">
        <v>1790</v>
      </c>
      <c r="B1026" s="10">
        <v>76</v>
      </c>
      <c r="C1026" s="10" t="s">
        <v>1683</v>
      </c>
      <c r="D1026" s="10">
        <v>736</v>
      </c>
    </row>
    <row r="1027" spans="1:4" ht="15.75" thickBot="1" x14ac:dyDescent="0.3">
      <c r="A1027" s="1" t="s">
        <v>1790</v>
      </c>
      <c r="B1027" s="10">
        <v>76</v>
      </c>
      <c r="C1027" s="10" t="s">
        <v>1684</v>
      </c>
      <c r="D1027" s="10">
        <v>823</v>
      </c>
    </row>
    <row r="1028" spans="1:4" ht="15.75" thickBot="1" x14ac:dyDescent="0.3">
      <c r="A1028" s="1" t="s">
        <v>1790</v>
      </c>
      <c r="B1028" s="10">
        <v>76</v>
      </c>
      <c r="C1028" s="10" t="s">
        <v>1685</v>
      </c>
      <c r="D1028" s="10">
        <v>828</v>
      </c>
    </row>
    <row r="1029" spans="1:4" ht="15.75" thickBot="1" x14ac:dyDescent="0.3">
      <c r="A1029" s="1" t="s">
        <v>1790</v>
      </c>
      <c r="B1029" s="10">
        <v>76</v>
      </c>
      <c r="C1029" s="10" t="s">
        <v>1686</v>
      </c>
      <c r="D1029" s="10">
        <v>834</v>
      </c>
    </row>
    <row r="1030" spans="1:4" ht="15.75" thickBot="1" x14ac:dyDescent="0.3">
      <c r="A1030" s="1" t="s">
        <v>1790</v>
      </c>
      <c r="B1030" s="10">
        <v>76</v>
      </c>
      <c r="C1030" s="10" t="s">
        <v>1687</v>
      </c>
      <c r="D1030" s="10">
        <v>845</v>
      </c>
    </row>
    <row r="1031" spans="1:4" ht="15.75" thickBot="1" x14ac:dyDescent="0.3">
      <c r="A1031" s="1" t="s">
        <v>1790</v>
      </c>
      <c r="B1031" s="10">
        <v>76</v>
      </c>
      <c r="C1031" s="10" t="s">
        <v>1688</v>
      </c>
      <c r="D1031" s="10">
        <v>863</v>
      </c>
    </row>
    <row r="1032" spans="1:4" ht="15.75" thickBot="1" x14ac:dyDescent="0.3">
      <c r="A1032" s="1" t="s">
        <v>1790</v>
      </c>
      <c r="B1032" s="10">
        <v>76</v>
      </c>
      <c r="C1032" s="10" t="s">
        <v>1689</v>
      </c>
      <c r="D1032" s="10">
        <v>869</v>
      </c>
    </row>
    <row r="1033" spans="1:4" ht="15.75" thickBot="1" x14ac:dyDescent="0.3">
      <c r="A1033" s="1" t="s">
        <v>1790</v>
      </c>
      <c r="B1033" s="10">
        <v>76</v>
      </c>
      <c r="C1033" s="10" t="s">
        <v>1690</v>
      </c>
      <c r="D1033" s="10">
        <v>890</v>
      </c>
    </row>
    <row r="1034" spans="1:4" ht="15.75" thickBot="1" x14ac:dyDescent="0.3">
      <c r="A1034" s="1" t="s">
        <v>1790</v>
      </c>
      <c r="B1034" s="10">
        <v>76</v>
      </c>
      <c r="C1034" s="10" t="s">
        <v>1691</v>
      </c>
      <c r="D1034" s="10">
        <v>892</v>
      </c>
    </row>
    <row r="1035" spans="1:4" ht="15.75" thickBot="1" x14ac:dyDescent="0.3">
      <c r="A1035" s="1" t="s">
        <v>1790</v>
      </c>
      <c r="B1035" s="10">
        <v>76</v>
      </c>
      <c r="C1035" s="10" t="s">
        <v>1692</v>
      </c>
      <c r="D1035" s="10">
        <v>895</v>
      </c>
    </row>
    <row r="1036" spans="1:4" ht="15.75" thickBot="1" x14ac:dyDescent="0.3">
      <c r="A1036" s="10" t="s">
        <v>1693</v>
      </c>
      <c r="B1036" s="10">
        <v>81</v>
      </c>
      <c r="C1036" s="10" t="s">
        <v>1693</v>
      </c>
      <c r="D1036" s="10">
        <v>1</v>
      </c>
    </row>
    <row r="1037" spans="1:4" ht="15.75" thickBot="1" x14ac:dyDescent="0.3">
      <c r="A1037" s="10" t="s">
        <v>1693</v>
      </c>
      <c r="B1037" s="10">
        <v>81</v>
      </c>
      <c r="C1037" s="10" t="s">
        <v>1694</v>
      </c>
      <c r="D1037" s="10">
        <v>65</v>
      </c>
    </row>
    <row r="1038" spans="1:4" ht="15.75" thickBot="1" x14ac:dyDescent="0.3">
      <c r="A1038" s="10" t="s">
        <v>1693</v>
      </c>
      <c r="B1038" s="10">
        <v>81</v>
      </c>
      <c r="C1038" s="10" t="s">
        <v>1695</v>
      </c>
      <c r="D1038" s="10">
        <v>220</v>
      </c>
    </row>
    <row r="1039" spans="1:4" ht="15.75" thickBot="1" x14ac:dyDescent="0.3">
      <c r="A1039" s="10" t="s">
        <v>1693</v>
      </c>
      <c r="B1039" s="10">
        <v>81</v>
      </c>
      <c r="C1039" s="10" t="s">
        <v>1696</v>
      </c>
      <c r="D1039" s="10">
        <v>300</v>
      </c>
    </row>
    <row r="1040" spans="1:4" ht="15.75" thickBot="1" x14ac:dyDescent="0.3">
      <c r="A1040" s="10" t="s">
        <v>1693</v>
      </c>
      <c r="B1040" s="10">
        <v>81</v>
      </c>
      <c r="C1040" s="10" t="s">
        <v>1697</v>
      </c>
      <c r="D1040" s="10">
        <v>591</v>
      </c>
    </row>
    <row r="1041" spans="1:4" ht="15.75" thickBot="1" x14ac:dyDescent="0.3">
      <c r="A1041" s="10" t="s">
        <v>1693</v>
      </c>
      <c r="B1041" s="10">
        <v>81</v>
      </c>
      <c r="C1041" s="10" t="s">
        <v>1698</v>
      </c>
      <c r="D1041" s="10">
        <v>736</v>
      </c>
    </row>
    <row r="1042" spans="1:4" ht="15.75" thickBot="1" x14ac:dyDescent="0.3">
      <c r="A1042" s="10" t="s">
        <v>1693</v>
      </c>
      <c r="B1042" s="10">
        <v>81</v>
      </c>
      <c r="C1042" s="10" t="s">
        <v>1699</v>
      </c>
      <c r="D1042" s="10">
        <v>794</v>
      </c>
    </row>
    <row r="1043" spans="1:4" ht="15.75" thickBot="1" x14ac:dyDescent="0.3">
      <c r="A1043" s="10" t="s">
        <v>1774</v>
      </c>
      <c r="B1043" s="10">
        <v>85</v>
      </c>
      <c r="C1043" s="10" t="s">
        <v>1700</v>
      </c>
      <c r="D1043" s="10">
        <v>1</v>
      </c>
    </row>
    <row r="1044" spans="1:4" ht="15.75" thickBot="1" x14ac:dyDescent="0.3">
      <c r="A1044" s="10" t="s">
        <v>1774</v>
      </c>
      <c r="B1044" s="10">
        <v>85</v>
      </c>
      <c r="C1044" s="10" t="s">
        <v>1701</v>
      </c>
      <c r="D1044" s="10">
        <v>10</v>
      </c>
    </row>
    <row r="1045" spans="1:4" ht="15.75" thickBot="1" x14ac:dyDescent="0.3">
      <c r="A1045" s="10" t="s">
        <v>1774</v>
      </c>
      <c r="B1045" s="10">
        <v>85</v>
      </c>
      <c r="C1045" s="10" t="s">
        <v>1702</v>
      </c>
      <c r="D1045" s="10">
        <v>15</v>
      </c>
    </row>
    <row r="1046" spans="1:4" ht="15.75" thickBot="1" x14ac:dyDescent="0.3">
      <c r="A1046" s="10" t="s">
        <v>1774</v>
      </c>
      <c r="B1046" s="10">
        <v>85</v>
      </c>
      <c r="C1046" s="10" t="s">
        <v>1703</v>
      </c>
      <c r="D1046" s="10">
        <v>125</v>
      </c>
    </row>
    <row r="1047" spans="1:4" ht="15.75" thickBot="1" x14ac:dyDescent="0.3">
      <c r="A1047" s="10" t="s">
        <v>1774</v>
      </c>
      <c r="B1047" s="10">
        <v>85</v>
      </c>
      <c r="C1047" s="10" t="s">
        <v>1704</v>
      </c>
      <c r="D1047" s="10">
        <v>136</v>
      </c>
    </row>
    <row r="1048" spans="1:4" ht="15.75" thickBot="1" x14ac:dyDescent="0.3">
      <c r="A1048" s="10" t="s">
        <v>1774</v>
      </c>
      <c r="B1048" s="10">
        <v>85</v>
      </c>
      <c r="C1048" s="10" t="s">
        <v>1705</v>
      </c>
      <c r="D1048" s="10">
        <v>139</v>
      </c>
    </row>
    <row r="1049" spans="1:4" ht="15.75" thickBot="1" x14ac:dyDescent="0.3">
      <c r="A1049" s="10" t="s">
        <v>1774</v>
      </c>
      <c r="B1049" s="10">
        <v>85</v>
      </c>
      <c r="C1049" s="10" t="s">
        <v>1706</v>
      </c>
      <c r="D1049" s="10">
        <v>162</v>
      </c>
    </row>
    <row r="1050" spans="1:4" ht="15.75" thickBot="1" x14ac:dyDescent="0.3">
      <c r="A1050" s="10" t="s">
        <v>1774</v>
      </c>
      <c r="B1050" s="10">
        <v>85</v>
      </c>
      <c r="C1050" s="10" t="s">
        <v>1707</v>
      </c>
      <c r="D1050" s="10">
        <v>225</v>
      </c>
    </row>
    <row r="1051" spans="1:4" ht="15.75" thickBot="1" x14ac:dyDescent="0.3">
      <c r="A1051" s="10" t="s">
        <v>1774</v>
      </c>
      <c r="B1051" s="10">
        <v>85</v>
      </c>
      <c r="C1051" s="10" t="s">
        <v>1708</v>
      </c>
      <c r="D1051" s="10">
        <v>230</v>
      </c>
    </row>
    <row r="1052" spans="1:4" ht="15.75" thickBot="1" x14ac:dyDescent="0.3">
      <c r="A1052" s="10" t="s">
        <v>1774</v>
      </c>
      <c r="B1052" s="10">
        <v>85</v>
      </c>
      <c r="C1052" s="10" t="s">
        <v>1709</v>
      </c>
      <c r="D1052" s="10">
        <v>250</v>
      </c>
    </row>
    <row r="1053" spans="1:4" ht="15.75" thickBot="1" x14ac:dyDescent="0.3">
      <c r="A1053" s="10" t="s">
        <v>1774</v>
      </c>
      <c r="B1053" s="10">
        <v>85</v>
      </c>
      <c r="C1053" s="10" t="s">
        <v>1710</v>
      </c>
      <c r="D1053" s="10">
        <v>263</v>
      </c>
    </row>
    <row r="1054" spans="1:4" ht="15.75" thickBot="1" x14ac:dyDescent="0.3">
      <c r="A1054" s="10" t="s">
        <v>1774</v>
      </c>
      <c r="B1054" s="10">
        <v>85</v>
      </c>
      <c r="C1054" s="10" t="s">
        <v>1711</v>
      </c>
      <c r="D1054" s="10">
        <v>279</v>
      </c>
    </row>
    <row r="1055" spans="1:4" ht="15.75" thickBot="1" x14ac:dyDescent="0.3">
      <c r="A1055" s="10" t="s">
        <v>1774</v>
      </c>
      <c r="B1055" s="10">
        <v>85</v>
      </c>
      <c r="C1055" s="10" t="s">
        <v>837</v>
      </c>
      <c r="D1055" s="10">
        <v>300</v>
      </c>
    </row>
    <row r="1056" spans="1:4" ht="15.75" thickBot="1" x14ac:dyDescent="0.3">
      <c r="A1056" s="10" t="s">
        <v>1774</v>
      </c>
      <c r="B1056" s="10">
        <v>85</v>
      </c>
      <c r="C1056" s="10" t="s">
        <v>1712</v>
      </c>
      <c r="D1056" s="10">
        <v>315</v>
      </c>
    </row>
    <row r="1057" spans="1:4" ht="15.75" thickBot="1" x14ac:dyDescent="0.3">
      <c r="A1057" s="10" t="s">
        <v>1774</v>
      </c>
      <c r="B1057" s="10">
        <v>85</v>
      </c>
      <c r="C1057" s="10" t="s">
        <v>1713</v>
      </c>
      <c r="D1057" s="10">
        <v>325</v>
      </c>
    </row>
    <row r="1058" spans="1:4" ht="15.75" thickBot="1" x14ac:dyDescent="0.3">
      <c r="A1058" s="10" t="s">
        <v>1774</v>
      </c>
      <c r="B1058" s="10">
        <v>85</v>
      </c>
      <c r="C1058" s="10" t="s">
        <v>1714</v>
      </c>
      <c r="D1058" s="10">
        <v>400</v>
      </c>
    </row>
    <row r="1059" spans="1:4" ht="15.75" thickBot="1" x14ac:dyDescent="0.3">
      <c r="A1059" s="10" t="s">
        <v>1774</v>
      </c>
      <c r="B1059" s="10">
        <v>85</v>
      </c>
      <c r="C1059" s="10" t="s">
        <v>1715</v>
      </c>
      <c r="D1059" s="10">
        <v>410</v>
      </c>
    </row>
    <row r="1060" spans="1:4" ht="15.75" thickBot="1" x14ac:dyDescent="0.3">
      <c r="A1060" s="10" t="s">
        <v>1774</v>
      </c>
      <c r="B1060" s="10">
        <v>85</v>
      </c>
      <c r="C1060" s="10" t="s">
        <v>1716</v>
      </c>
      <c r="D1060" s="10">
        <v>430</v>
      </c>
    </row>
    <row r="1061" spans="1:4" ht="15.75" thickBot="1" x14ac:dyDescent="0.3">
      <c r="A1061" s="10" t="s">
        <v>1774</v>
      </c>
      <c r="B1061" s="10">
        <v>85</v>
      </c>
      <c r="C1061" s="10" t="s">
        <v>940</v>
      </c>
      <c r="D1061" s="10">
        <v>440</v>
      </c>
    </row>
    <row r="1062" spans="1:4" ht="15.75" thickBot="1" x14ac:dyDescent="0.3">
      <c r="A1062" s="10" t="s">
        <v>1775</v>
      </c>
      <c r="B1062" s="10">
        <v>86</v>
      </c>
      <c r="C1062" s="10" t="s">
        <v>1717</v>
      </c>
      <c r="D1062" s="10">
        <v>1</v>
      </c>
    </row>
    <row r="1063" spans="1:4" ht="15.75" thickBot="1" x14ac:dyDescent="0.3">
      <c r="A1063" s="10" t="s">
        <v>1775</v>
      </c>
      <c r="B1063" s="10">
        <v>86</v>
      </c>
      <c r="C1063" s="10" t="s">
        <v>1718</v>
      </c>
      <c r="D1063" s="10">
        <v>219</v>
      </c>
    </row>
    <row r="1064" spans="1:4" ht="15.75" thickBot="1" x14ac:dyDescent="0.3">
      <c r="A1064" s="10" t="s">
        <v>1775</v>
      </c>
      <c r="B1064" s="10">
        <v>86</v>
      </c>
      <c r="C1064" s="10" t="s">
        <v>1719</v>
      </c>
      <c r="D1064" s="10">
        <v>320</v>
      </c>
    </row>
    <row r="1065" spans="1:4" ht="15.75" thickBot="1" x14ac:dyDescent="0.3">
      <c r="A1065" s="10" t="s">
        <v>1775</v>
      </c>
      <c r="B1065" s="10">
        <v>86</v>
      </c>
      <c r="C1065" s="10" t="s">
        <v>1720</v>
      </c>
      <c r="D1065" s="10">
        <v>568</v>
      </c>
    </row>
    <row r="1066" spans="1:4" ht="15.75" thickBot="1" x14ac:dyDescent="0.3">
      <c r="A1066" s="10" t="s">
        <v>1775</v>
      </c>
      <c r="B1066" s="10">
        <v>86</v>
      </c>
      <c r="C1066" s="10" t="s">
        <v>1721</v>
      </c>
      <c r="D1066" s="10">
        <v>569</v>
      </c>
    </row>
    <row r="1067" spans="1:4" ht="15.75" thickBot="1" x14ac:dyDescent="0.3">
      <c r="A1067" s="10" t="s">
        <v>1775</v>
      </c>
      <c r="B1067" s="10">
        <v>86</v>
      </c>
      <c r="C1067" s="10" t="s">
        <v>1722</v>
      </c>
      <c r="D1067" s="10">
        <v>571</v>
      </c>
    </row>
    <row r="1068" spans="1:4" ht="15.75" thickBot="1" x14ac:dyDescent="0.3">
      <c r="A1068" s="10" t="s">
        <v>1775</v>
      </c>
      <c r="B1068" s="10">
        <v>86</v>
      </c>
      <c r="C1068" s="10" t="s">
        <v>1723</v>
      </c>
      <c r="D1068" s="10">
        <v>573</v>
      </c>
    </row>
    <row r="1069" spans="1:4" ht="15.75" thickBot="1" x14ac:dyDescent="0.3">
      <c r="A1069" s="10" t="s">
        <v>1775</v>
      </c>
      <c r="B1069" s="10">
        <v>86</v>
      </c>
      <c r="C1069" s="10" t="s">
        <v>1724</v>
      </c>
      <c r="D1069" s="10">
        <v>749</v>
      </c>
    </row>
    <row r="1070" spans="1:4" ht="15.75" thickBot="1" x14ac:dyDescent="0.3">
      <c r="A1070" s="10" t="s">
        <v>1775</v>
      </c>
      <c r="B1070" s="10">
        <v>86</v>
      </c>
      <c r="C1070" s="10" t="s">
        <v>842</v>
      </c>
      <c r="D1070" s="10">
        <v>755</v>
      </c>
    </row>
    <row r="1071" spans="1:4" ht="15.75" thickBot="1" x14ac:dyDescent="0.3">
      <c r="A1071" s="10" t="s">
        <v>1775</v>
      </c>
      <c r="B1071" s="10">
        <v>86</v>
      </c>
      <c r="C1071" s="10" t="s">
        <v>1725</v>
      </c>
      <c r="D1071" s="10">
        <v>757</v>
      </c>
    </row>
    <row r="1072" spans="1:4" ht="15.75" thickBot="1" x14ac:dyDescent="0.3">
      <c r="A1072" s="10" t="s">
        <v>1775</v>
      </c>
      <c r="B1072" s="10">
        <v>86</v>
      </c>
      <c r="C1072" s="10" t="s">
        <v>1491</v>
      </c>
      <c r="D1072" s="10">
        <v>760</v>
      </c>
    </row>
    <row r="1073" spans="1:4" ht="15.75" thickBot="1" x14ac:dyDescent="0.3">
      <c r="A1073" s="10" t="s">
        <v>1775</v>
      </c>
      <c r="B1073" s="10">
        <v>86</v>
      </c>
      <c r="C1073" s="10" t="s">
        <v>1726</v>
      </c>
      <c r="D1073" s="10">
        <v>865</v>
      </c>
    </row>
    <row r="1074" spans="1:4" x14ac:dyDescent="0.25">
      <c r="A1074" s="12" t="s">
        <v>1775</v>
      </c>
      <c r="B1074" s="12">
        <v>86</v>
      </c>
      <c r="C1074" s="12" t="s">
        <v>1727</v>
      </c>
      <c r="D1074" s="12">
        <v>885</v>
      </c>
    </row>
    <row r="1075" spans="1:4" x14ac:dyDescent="0.25">
      <c r="A1075" s="12" t="s">
        <v>840</v>
      </c>
      <c r="B1075" s="12">
        <v>88</v>
      </c>
      <c r="C1075" s="12" t="s">
        <v>840</v>
      </c>
      <c r="D1075" s="12">
        <v>1</v>
      </c>
    </row>
    <row r="1076" spans="1:4" x14ac:dyDescent="0.25">
      <c r="A1076" s="12" t="s">
        <v>840</v>
      </c>
      <c r="B1076" s="12">
        <v>88</v>
      </c>
      <c r="C1076" s="12" t="s">
        <v>1445</v>
      </c>
      <c r="D1076" s="12">
        <v>564</v>
      </c>
    </row>
    <row r="1077" spans="1:4" x14ac:dyDescent="0.25">
      <c r="A1077" s="12" t="s">
        <v>1776</v>
      </c>
      <c r="B1077" s="12">
        <v>91</v>
      </c>
      <c r="C1077" s="12" t="s">
        <v>1728</v>
      </c>
      <c r="D1077" s="12">
        <v>1</v>
      </c>
    </row>
    <row r="1078" spans="1:4" x14ac:dyDescent="0.25">
      <c r="A1078" s="12" t="s">
        <v>1776</v>
      </c>
      <c r="B1078" s="12">
        <v>91</v>
      </c>
      <c r="C1078" s="12" t="s">
        <v>1729</v>
      </c>
      <c r="D1078" s="12">
        <v>263</v>
      </c>
    </row>
    <row r="1079" spans="1:4" x14ac:dyDescent="0.25">
      <c r="A1079" s="12" t="s">
        <v>1776</v>
      </c>
      <c r="B1079" s="12">
        <v>91</v>
      </c>
      <c r="C1079" s="12" t="s">
        <v>1730</v>
      </c>
      <c r="D1079" s="12">
        <v>405</v>
      </c>
    </row>
    <row r="1080" spans="1:4" x14ac:dyDescent="0.25">
      <c r="A1080" s="12" t="s">
        <v>1776</v>
      </c>
      <c r="B1080" s="12">
        <v>91</v>
      </c>
      <c r="C1080" s="12" t="s">
        <v>1731</v>
      </c>
      <c r="D1080" s="12">
        <v>407</v>
      </c>
    </row>
    <row r="1081" spans="1:4" x14ac:dyDescent="0.25">
      <c r="A1081" s="12" t="s">
        <v>1776</v>
      </c>
      <c r="B1081" s="12">
        <v>91</v>
      </c>
      <c r="C1081" s="12" t="s">
        <v>987</v>
      </c>
      <c r="D1081" s="12">
        <v>430</v>
      </c>
    </row>
    <row r="1082" spans="1:4" x14ac:dyDescent="0.25">
      <c r="A1082" s="12" t="s">
        <v>1776</v>
      </c>
      <c r="B1082" s="12">
        <v>91</v>
      </c>
      <c r="C1082" s="12" t="s">
        <v>1732</v>
      </c>
      <c r="D1082" s="12">
        <v>460</v>
      </c>
    </row>
    <row r="1083" spans="1:4" x14ac:dyDescent="0.25">
      <c r="A1083" s="12" t="s">
        <v>1776</v>
      </c>
      <c r="B1083" s="12">
        <v>91</v>
      </c>
      <c r="C1083" s="12" t="s">
        <v>1733</v>
      </c>
      <c r="D1083" s="12">
        <v>530</v>
      </c>
    </row>
    <row r="1084" spans="1:4" x14ac:dyDescent="0.25">
      <c r="A1084" s="12" t="s">
        <v>1776</v>
      </c>
      <c r="B1084" s="12">
        <v>91</v>
      </c>
      <c r="C1084" s="12" t="s">
        <v>1734</v>
      </c>
      <c r="D1084" s="12">
        <v>536</v>
      </c>
    </row>
    <row r="1085" spans="1:4" x14ac:dyDescent="0.25">
      <c r="A1085" s="12" t="s">
        <v>1776</v>
      </c>
      <c r="B1085" s="12">
        <v>91</v>
      </c>
      <c r="C1085" s="12" t="s">
        <v>1735</v>
      </c>
      <c r="D1085" s="12">
        <v>540</v>
      </c>
    </row>
    <row r="1086" spans="1:4" x14ac:dyDescent="0.25">
      <c r="A1086" s="12" t="s">
        <v>1776</v>
      </c>
      <c r="B1086" s="12">
        <v>91</v>
      </c>
      <c r="C1086" s="12" t="s">
        <v>1487</v>
      </c>
      <c r="D1086" s="12">
        <v>669</v>
      </c>
    </row>
    <row r="1087" spans="1:4" x14ac:dyDescent="0.25">
      <c r="A1087" s="12" t="s">
        <v>1776</v>
      </c>
      <c r="B1087" s="12">
        <v>91</v>
      </c>
      <c r="C1087" s="12" t="s">
        <v>1736</v>
      </c>
      <c r="D1087" s="12">
        <v>798</v>
      </c>
    </row>
    <row r="1088" spans="1:4" x14ac:dyDescent="0.25">
      <c r="A1088" s="12" t="s">
        <v>1777</v>
      </c>
      <c r="B1088" s="12">
        <v>94</v>
      </c>
      <c r="C1088" s="12" t="s">
        <v>1737</v>
      </c>
      <c r="D1088" s="12">
        <v>1</v>
      </c>
    </row>
    <row r="1089" spans="1:4" x14ac:dyDescent="0.25">
      <c r="A1089" s="12" t="s">
        <v>1777</v>
      </c>
      <c r="B1089" s="12">
        <v>94</v>
      </c>
      <c r="C1089" s="12" t="s">
        <v>1738</v>
      </c>
      <c r="D1089" s="12">
        <v>343</v>
      </c>
    </row>
    <row r="1090" spans="1:4" x14ac:dyDescent="0.25">
      <c r="A1090" s="12" t="s">
        <v>1777</v>
      </c>
      <c r="B1090" s="12">
        <v>94</v>
      </c>
      <c r="C1090" s="12" t="s">
        <v>1739</v>
      </c>
      <c r="D1090" s="12">
        <v>883</v>
      </c>
    </row>
    <row r="1091" spans="1:4" x14ac:dyDescent="0.25">
      <c r="A1091" s="12" t="s">
        <v>1777</v>
      </c>
      <c r="B1091" s="12">
        <v>94</v>
      </c>
      <c r="C1091" s="12" t="s">
        <v>889</v>
      </c>
      <c r="D1091" s="12">
        <v>884</v>
      </c>
    </row>
    <row r="1092" spans="1:4" x14ac:dyDescent="0.25">
      <c r="A1092" s="12" t="s">
        <v>1777</v>
      </c>
      <c r="B1092" s="12">
        <v>94</v>
      </c>
      <c r="C1092" s="12" t="s">
        <v>1740</v>
      </c>
      <c r="D1092" s="12">
        <v>885</v>
      </c>
    </row>
    <row r="1093" spans="1:4" x14ac:dyDescent="0.25">
      <c r="A1093" s="12" t="s">
        <v>1777</v>
      </c>
      <c r="B1093" s="12">
        <v>94</v>
      </c>
      <c r="C1093" s="12" t="s">
        <v>1741</v>
      </c>
      <c r="D1093" s="12">
        <v>886</v>
      </c>
    </row>
    <row r="1094" spans="1:4" x14ac:dyDescent="0.25">
      <c r="A1094" s="12" t="s">
        <v>1777</v>
      </c>
      <c r="B1094" s="12">
        <v>94</v>
      </c>
      <c r="C1094" s="12" t="s">
        <v>1742</v>
      </c>
      <c r="D1094" s="12">
        <v>887</v>
      </c>
    </row>
    <row r="1095" spans="1:4" x14ac:dyDescent="0.25">
      <c r="A1095" s="12" t="s">
        <v>1777</v>
      </c>
      <c r="B1095" s="12">
        <v>94</v>
      </c>
      <c r="C1095" s="12" t="s">
        <v>1788</v>
      </c>
      <c r="D1095" s="12">
        <v>888</v>
      </c>
    </row>
    <row r="1096" spans="1:4" x14ac:dyDescent="0.25">
      <c r="A1096" s="12" t="s">
        <v>1778</v>
      </c>
      <c r="B1096" s="12">
        <v>95</v>
      </c>
      <c r="C1096" s="12" t="s">
        <v>1743</v>
      </c>
      <c r="D1096" s="12">
        <v>1</v>
      </c>
    </row>
    <row r="1097" spans="1:4" x14ac:dyDescent="0.25">
      <c r="A1097" s="12" t="s">
        <v>1778</v>
      </c>
      <c r="B1097" s="12">
        <v>95</v>
      </c>
      <c r="C1097" s="12" t="s">
        <v>904</v>
      </c>
      <c r="D1097" s="12">
        <v>15</v>
      </c>
    </row>
    <row r="1098" spans="1:4" x14ac:dyDescent="0.25">
      <c r="A1098" s="12" t="s">
        <v>1778</v>
      </c>
      <c r="B1098" s="12">
        <v>95</v>
      </c>
      <c r="C1098" s="12" t="s">
        <v>1744</v>
      </c>
      <c r="D1098" s="12">
        <v>25</v>
      </c>
    </row>
    <row r="1099" spans="1:4" x14ac:dyDescent="0.25">
      <c r="A1099" s="12" t="s">
        <v>1778</v>
      </c>
      <c r="B1099" s="12">
        <v>95</v>
      </c>
      <c r="C1099" s="12" t="s">
        <v>992</v>
      </c>
      <c r="D1099" s="12">
        <v>200</v>
      </c>
    </row>
    <row r="1100" spans="1:4" x14ac:dyDescent="0.25">
      <c r="A1100" s="12" t="s">
        <v>1779</v>
      </c>
      <c r="B1100" s="12">
        <v>97</v>
      </c>
      <c r="C1100" s="12" t="s">
        <v>1745</v>
      </c>
      <c r="D1100" s="12">
        <v>1</v>
      </c>
    </row>
    <row r="1101" spans="1:4" x14ac:dyDescent="0.25">
      <c r="A1101" s="12" t="s">
        <v>1779</v>
      </c>
      <c r="B1101" s="12">
        <v>97</v>
      </c>
      <c r="C1101" s="12" t="s">
        <v>1746</v>
      </c>
      <c r="D1101" s="12">
        <v>161</v>
      </c>
    </row>
    <row r="1102" spans="1:4" x14ac:dyDescent="0.25">
      <c r="A1102" s="12" t="s">
        <v>1779</v>
      </c>
      <c r="B1102" s="12">
        <v>97</v>
      </c>
      <c r="C1102" s="12" t="s">
        <v>1747</v>
      </c>
      <c r="D1102" s="12">
        <v>511</v>
      </c>
    </row>
    <row r="1103" spans="1:4" x14ac:dyDescent="0.25">
      <c r="A1103" s="12" t="s">
        <v>1779</v>
      </c>
      <c r="B1103" s="12">
        <v>97</v>
      </c>
      <c r="C1103" s="12" t="s">
        <v>1748</v>
      </c>
      <c r="D1103" s="12">
        <v>666</v>
      </c>
    </row>
    <row r="1104" spans="1:4" x14ac:dyDescent="0.25">
      <c r="A1104" s="12" t="s">
        <v>1779</v>
      </c>
      <c r="B1104" s="12">
        <v>97</v>
      </c>
      <c r="C1104" s="12" t="s">
        <v>1749</v>
      </c>
      <c r="D1104" s="12">
        <v>777</v>
      </c>
    </row>
    <row r="1105" spans="1:7" x14ac:dyDescent="0.25">
      <c r="A1105" s="1" t="s">
        <v>1779</v>
      </c>
      <c r="B1105" s="1">
        <v>97</v>
      </c>
      <c r="C1105" s="1" t="s">
        <v>1750</v>
      </c>
      <c r="D1105" s="1">
        <v>889</v>
      </c>
    </row>
    <row r="1106" spans="1:7" x14ac:dyDescent="0.25">
      <c r="A1106" s="12" t="s">
        <v>1780</v>
      </c>
      <c r="B1106" s="12">
        <v>99</v>
      </c>
      <c r="C1106" s="12" t="s">
        <v>1751</v>
      </c>
      <c r="D1106" s="12">
        <v>1</v>
      </c>
    </row>
    <row r="1107" spans="1:7" x14ac:dyDescent="0.25">
      <c r="A1107" s="12" t="s">
        <v>1780</v>
      </c>
      <c r="B1107" s="12">
        <v>99</v>
      </c>
      <c r="C1107" s="12" t="s">
        <v>1752</v>
      </c>
      <c r="D1107" s="12">
        <v>524</v>
      </c>
    </row>
    <row r="1108" spans="1:7" x14ac:dyDescent="0.25">
      <c r="A1108" s="12" t="s">
        <v>1780</v>
      </c>
      <c r="B1108" s="12">
        <v>99</v>
      </c>
      <c r="C1108" s="12" t="s">
        <v>1753</v>
      </c>
      <c r="D1108" s="12">
        <v>572</v>
      </c>
    </row>
    <row r="1109" spans="1:7" x14ac:dyDescent="0.25">
      <c r="A1109" s="12" t="s">
        <v>1780</v>
      </c>
      <c r="B1109" s="12">
        <v>99</v>
      </c>
      <c r="C1109" s="12" t="s">
        <v>1754</v>
      </c>
      <c r="D1109" s="12">
        <v>666</v>
      </c>
    </row>
    <row r="1110" spans="1:7" x14ac:dyDescent="0.25">
      <c r="A1110" s="12" t="s">
        <v>1780</v>
      </c>
      <c r="B1110" s="12">
        <v>99</v>
      </c>
      <c r="C1110" s="12" t="s">
        <v>1755</v>
      </c>
      <c r="D1110" s="12">
        <v>760</v>
      </c>
    </row>
    <row r="1111" spans="1:7" x14ac:dyDescent="0.25">
      <c r="A1111" s="12" t="s">
        <v>1780</v>
      </c>
      <c r="B1111" s="12">
        <v>99</v>
      </c>
      <c r="C1111" s="12" t="s">
        <v>1756</v>
      </c>
      <c r="D1111" s="12">
        <v>773</v>
      </c>
    </row>
    <row r="1112" spans="1:7" x14ac:dyDescent="0.25">
      <c r="A1112" s="1" t="s">
        <v>1794</v>
      </c>
      <c r="B1112" s="1">
        <v>11</v>
      </c>
      <c r="C1112" s="1" t="s">
        <v>1793</v>
      </c>
      <c r="D1112" s="1">
        <v>1</v>
      </c>
    </row>
    <row r="1113" spans="1:7" x14ac:dyDescent="0.25">
      <c r="A1113" s="1" t="s">
        <v>1794</v>
      </c>
      <c r="B1113" s="1">
        <v>11</v>
      </c>
      <c r="C1113" s="14" t="s">
        <v>1795</v>
      </c>
      <c r="D1113" s="1">
        <v>1</v>
      </c>
      <c r="G1113" s="14"/>
    </row>
    <row r="1114" spans="1:7" x14ac:dyDescent="0.25">
      <c r="A1114" s="1" t="s">
        <v>1794</v>
      </c>
      <c r="B1114" s="1">
        <v>11</v>
      </c>
      <c r="C1114" s="1" t="s">
        <v>1796</v>
      </c>
      <c r="D1114" s="1">
        <v>2</v>
      </c>
    </row>
    <row r="1115" spans="1:7" x14ac:dyDescent="0.25">
      <c r="A1115" s="1" t="s">
        <v>1794</v>
      </c>
      <c r="B1115" s="1">
        <v>11</v>
      </c>
      <c r="C1115" s="1" t="s">
        <v>1797</v>
      </c>
      <c r="D1115" s="1">
        <v>3</v>
      </c>
    </row>
    <row r="1116" spans="1:7" x14ac:dyDescent="0.25">
      <c r="A1116" s="1" t="s">
        <v>1794</v>
      </c>
      <c r="B1116" s="1">
        <v>11</v>
      </c>
      <c r="C1116" s="1" t="s">
        <v>923</v>
      </c>
      <c r="D1116" s="1">
        <v>4</v>
      </c>
    </row>
    <row r="1117" spans="1:7" x14ac:dyDescent="0.25">
      <c r="A1117" s="1" t="s">
        <v>1794</v>
      </c>
      <c r="B1117" s="1">
        <v>11</v>
      </c>
      <c r="C1117" s="1" t="s">
        <v>1798</v>
      </c>
      <c r="D1117" s="1">
        <v>5</v>
      </c>
    </row>
    <row r="1118" spans="1:7" x14ac:dyDescent="0.25">
      <c r="A1118" s="1" t="s">
        <v>1794</v>
      </c>
      <c r="B1118" s="1">
        <v>11</v>
      </c>
      <c r="C1118" s="1" t="s">
        <v>1799</v>
      </c>
      <c r="D1118" s="1">
        <v>6</v>
      </c>
    </row>
    <row r="1119" spans="1:7" x14ac:dyDescent="0.25">
      <c r="A1119" s="1" t="s">
        <v>1794</v>
      </c>
      <c r="B1119" s="1">
        <v>11</v>
      </c>
      <c r="C1119" s="1" t="s">
        <v>1800</v>
      </c>
      <c r="D1119" s="1">
        <v>7</v>
      </c>
    </row>
    <row r="1120" spans="1:7" x14ac:dyDescent="0.25">
      <c r="A1120" s="1" t="s">
        <v>1794</v>
      </c>
      <c r="B1120" s="1">
        <v>11</v>
      </c>
      <c r="C1120" s="1" t="s">
        <v>1801</v>
      </c>
      <c r="D1120" s="1">
        <v>8</v>
      </c>
    </row>
    <row r="1121" spans="1:7" x14ac:dyDescent="0.25">
      <c r="A1121" s="1" t="s">
        <v>1794</v>
      </c>
      <c r="B1121" s="1">
        <v>11</v>
      </c>
      <c r="C1121" s="1" t="s">
        <v>1802</v>
      </c>
      <c r="D1121" s="1">
        <v>9</v>
      </c>
    </row>
    <row r="1122" spans="1:7" x14ac:dyDescent="0.25">
      <c r="A1122" s="1" t="s">
        <v>1794</v>
      </c>
      <c r="B1122" s="1">
        <v>11</v>
      </c>
      <c r="C1122" s="1" t="s">
        <v>1803</v>
      </c>
      <c r="D1122" s="1">
        <v>10</v>
      </c>
    </row>
    <row r="1123" spans="1:7" x14ac:dyDescent="0.25">
      <c r="A1123" s="1" t="s">
        <v>1794</v>
      </c>
      <c r="B1123" s="1">
        <v>11</v>
      </c>
      <c r="C1123" s="1" t="s">
        <v>1804</v>
      </c>
      <c r="D1123" s="1">
        <v>11</v>
      </c>
    </row>
    <row r="1124" spans="1:7" x14ac:dyDescent="0.25">
      <c r="A1124" s="1" t="s">
        <v>1794</v>
      </c>
      <c r="B1124" s="1">
        <v>11</v>
      </c>
      <c r="C1124" s="1" t="s">
        <v>1805</v>
      </c>
      <c r="D1124" s="1">
        <v>12</v>
      </c>
    </row>
    <row r="1125" spans="1:7" x14ac:dyDescent="0.25">
      <c r="A1125" s="1" t="s">
        <v>1794</v>
      </c>
      <c r="B1125" s="1">
        <v>11</v>
      </c>
      <c r="C1125" s="1" t="s">
        <v>1806</v>
      </c>
      <c r="D1125" s="1">
        <v>13</v>
      </c>
    </row>
    <row r="1126" spans="1:7" x14ac:dyDescent="0.25">
      <c r="A1126" s="1" t="s">
        <v>1794</v>
      </c>
      <c r="B1126" s="1">
        <v>11</v>
      </c>
      <c r="C1126" s="1" t="s">
        <v>1807</v>
      </c>
      <c r="D1126" s="1">
        <v>14</v>
      </c>
    </row>
    <row r="1127" spans="1:7" x14ac:dyDescent="0.25">
      <c r="A1127" s="1" t="s">
        <v>1794</v>
      </c>
      <c r="B1127" s="1">
        <v>11</v>
      </c>
      <c r="C1127" s="1" t="s">
        <v>1808</v>
      </c>
      <c r="D1127" s="1">
        <v>15</v>
      </c>
    </row>
    <row r="1128" spans="1:7" x14ac:dyDescent="0.25">
      <c r="A1128" s="1" t="s">
        <v>1794</v>
      </c>
      <c r="B1128" s="1">
        <v>11</v>
      </c>
      <c r="C1128" s="14" t="s">
        <v>1809</v>
      </c>
      <c r="D1128" s="1">
        <v>16</v>
      </c>
      <c r="G1128" s="14"/>
    </row>
    <row r="1129" spans="1:7" x14ac:dyDescent="0.25">
      <c r="A1129" s="1" t="s">
        <v>1794</v>
      </c>
      <c r="B1129" s="1">
        <v>11</v>
      </c>
      <c r="C1129" s="1" t="s">
        <v>879</v>
      </c>
      <c r="D1129" s="1">
        <v>17</v>
      </c>
    </row>
    <row r="1130" spans="1:7" x14ac:dyDescent="0.25">
      <c r="A1130" s="1" t="s">
        <v>1794</v>
      </c>
      <c r="B1130" s="1">
        <v>11</v>
      </c>
      <c r="C1130" s="1" t="s">
        <v>1810</v>
      </c>
      <c r="D1130" s="1">
        <v>18</v>
      </c>
    </row>
    <row r="1131" spans="1:7" x14ac:dyDescent="0.25">
      <c r="A1131" s="1" t="s">
        <v>1794</v>
      </c>
      <c r="B1131" s="1">
        <v>11</v>
      </c>
      <c r="C1131" s="1" t="s">
        <v>1811</v>
      </c>
      <c r="D1131" s="1">
        <v>19</v>
      </c>
    </row>
    <row r="1132" spans="1:7" x14ac:dyDescent="0.25">
      <c r="A1132" s="1" t="s">
        <v>1794</v>
      </c>
      <c r="B1132" s="1">
        <v>11</v>
      </c>
      <c r="C1132" s="1" t="s">
        <v>1812</v>
      </c>
      <c r="D1132" s="1">
        <v>20</v>
      </c>
    </row>
  </sheetData>
  <autoFilter ref="A1:D111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AK647"/>
  <sheetViews>
    <sheetView workbookViewId="0">
      <selection activeCell="C29" sqref="C29"/>
    </sheetView>
  </sheetViews>
  <sheetFormatPr baseColWidth="10" defaultRowHeight="15" x14ac:dyDescent="0.25"/>
  <cols>
    <col min="1" max="1" width="30.140625" style="1" bestFit="1" customWidth="1"/>
    <col min="2" max="2" width="37.5703125" style="1" bestFit="1" customWidth="1"/>
    <col min="3" max="3" width="45.5703125" style="1" bestFit="1" customWidth="1"/>
    <col min="4" max="4" width="38.7109375" style="1" bestFit="1" customWidth="1"/>
    <col min="5" max="6" width="25.140625" style="1" bestFit="1" customWidth="1"/>
    <col min="7" max="7" width="47.42578125" style="1" bestFit="1" customWidth="1"/>
    <col min="8" max="8" width="13" style="1" bestFit="1" customWidth="1"/>
    <col min="9" max="9" width="25.7109375" style="1" bestFit="1" customWidth="1"/>
    <col min="10" max="10" width="9.42578125" style="1" bestFit="1" customWidth="1"/>
    <col min="11" max="11" width="41" style="1" bestFit="1" customWidth="1"/>
    <col min="12" max="12" width="13.7109375" style="1" bestFit="1" customWidth="1"/>
    <col min="13" max="13" width="7.5703125" style="1" bestFit="1" customWidth="1"/>
    <col min="14" max="14" width="27" style="1" bestFit="1" customWidth="1"/>
    <col min="15" max="15" width="10" style="1" bestFit="1" customWidth="1"/>
    <col min="16" max="16" width="19.42578125" style="1" bestFit="1" customWidth="1"/>
    <col min="17" max="17" width="12.28515625" style="1" bestFit="1" customWidth="1"/>
    <col min="18" max="18" width="13.5703125" style="1" bestFit="1" customWidth="1"/>
    <col min="19" max="19" width="9.5703125" style="1" bestFit="1" customWidth="1"/>
    <col min="20" max="20" width="8.28515625" style="1" bestFit="1" customWidth="1"/>
    <col min="21" max="21" width="14.5703125" style="1" bestFit="1" customWidth="1"/>
    <col min="22" max="22" width="9.42578125" style="1" bestFit="1" customWidth="1"/>
    <col min="23" max="23" width="10.28515625" style="1" bestFit="1" customWidth="1"/>
    <col min="24" max="24" width="12.140625" style="1" bestFit="1" customWidth="1"/>
    <col min="25" max="25" width="9.42578125" style="1" bestFit="1" customWidth="1"/>
    <col min="26" max="26" width="10" style="1" bestFit="1" customWidth="1"/>
    <col min="27" max="27" width="10.5703125" style="1" bestFit="1" customWidth="1"/>
    <col min="28" max="28" width="9.42578125" style="1" bestFit="1" customWidth="1"/>
    <col min="29" max="29" width="12.140625" style="1" bestFit="1" customWidth="1"/>
    <col min="30" max="30" width="6.28515625" style="1" bestFit="1" customWidth="1"/>
    <col min="31" max="31" width="10.85546875" style="1" bestFit="1" customWidth="1"/>
    <col min="33" max="33" width="50.5703125" style="1" bestFit="1" customWidth="1"/>
    <col min="34" max="34" width="7.140625" style="1" bestFit="1" customWidth="1"/>
    <col min="36" max="36" width="26.7109375" style="1" bestFit="1" customWidth="1"/>
    <col min="37" max="37" width="7.140625" style="1" bestFit="1" customWidth="1"/>
    <col min="38" max="16384" width="11.42578125" style="1"/>
  </cols>
  <sheetData>
    <row r="2" spans="1:37" x14ac:dyDescent="0.25">
      <c r="K2" s="16"/>
      <c r="L2" s="16"/>
      <c r="AG2" s="16" t="s">
        <v>540</v>
      </c>
      <c r="AH2" s="16" t="s">
        <v>1864</v>
      </c>
      <c r="AJ2" s="16" t="s">
        <v>539</v>
      </c>
      <c r="AK2" s="16" t="s">
        <v>1864</v>
      </c>
    </row>
    <row r="3" spans="1:37" x14ac:dyDescent="0.25">
      <c r="A3" s="1" t="s">
        <v>81</v>
      </c>
      <c r="B3" s="1" t="s">
        <v>99</v>
      </c>
      <c r="C3" s="1" t="s">
        <v>118</v>
      </c>
      <c r="D3" s="16" t="s">
        <v>1816</v>
      </c>
      <c r="E3" s="1" t="s">
        <v>82</v>
      </c>
      <c r="I3" s="16" t="s">
        <v>1816</v>
      </c>
      <c r="J3" s="1">
        <v>0</v>
      </c>
      <c r="K3" s="16" t="s">
        <v>1821</v>
      </c>
      <c r="L3" s="16">
        <v>1</v>
      </c>
      <c r="M3" s="19"/>
      <c r="N3" s="16" t="s">
        <v>1837</v>
      </c>
      <c r="O3" s="16">
        <v>1</v>
      </c>
      <c r="P3" s="16" t="s">
        <v>118</v>
      </c>
      <c r="Q3" s="16">
        <v>2</v>
      </c>
      <c r="R3" s="16" t="s">
        <v>1856</v>
      </c>
      <c r="V3" s="1" t="s">
        <v>20</v>
      </c>
      <c r="W3" s="1">
        <v>5</v>
      </c>
    </row>
    <row r="4" spans="1:37" x14ac:dyDescent="0.25">
      <c r="A4" s="1" t="s">
        <v>85</v>
      </c>
      <c r="B4" s="1" t="s">
        <v>100</v>
      </c>
      <c r="C4" s="1" t="s">
        <v>83</v>
      </c>
      <c r="D4" s="16" t="s">
        <v>121</v>
      </c>
      <c r="F4" s="1" t="s">
        <v>301</v>
      </c>
      <c r="G4" s="1" t="s">
        <v>306</v>
      </c>
      <c r="H4" s="1" t="s">
        <v>311</v>
      </c>
      <c r="I4" s="16" t="s">
        <v>121</v>
      </c>
      <c r="J4" s="1">
        <v>1</v>
      </c>
      <c r="K4" s="16" t="s">
        <v>1822</v>
      </c>
      <c r="L4" s="16">
        <v>2</v>
      </c>
      <c r="M4" s="19"/>
      <c r="N4" s="16" t="s">
        <v>1838</v>
      </c>
      <c r="O4" s="16">
        <v>2</v>
      </c>
      <c r="P4" s="16" t="s">
        <v>83</v>
      </c>
      <c r="Q4" s="16">
        <v>2</v>
      </c>
      <c r="R4" s="16" t="s">
        <v>1857</v>
      </c>
      <c r="V4" s="1" t="s">
        <v>21</v>
      </c>
      <c r="W4" s="1">
        <v>2</v>
      </c>
      <c r="AG4" s="16" t="s">
        <v>1865</v>
      </c>
      <c r="AH4" s="16">
        <v>1</v>
      </c>
      <c r="AJ4" s="32" t="s">
        <v>65</v>
      </c>
      <c r="AK4" s="31">
        <v>0</v>
      </c>
    </row>
    <row r="5" spans="1:37" x14ac:dyDescent="0.25">
      <c r="A5" s="1" t="s">
        <v>86</v>
      </c>
      <c r="B5" s="1" t="s">
        <v>101</v>
      </c>
      <c r="C5" s="1" t="s">
        <v>119</v>
      </c>
      <c r="D5" s="16" t="s">
        <v>122</v>
      </c>
      <c r="E5" s="1" t="s">
        <v>84</v>
      </c>
      <c r="G5" s="1" t="s">
        <v>307</v>
      </c>
      <c r="H5" s="1" t="s">
        <v>312</v>
      </c>
      <c r="I5" s="16" t="s">
        <v>122</v>
      </c>
      <c r="J5" s="1">
        <v>2</v>
      </c>
      <c r="K5" s="16" t="s">
        <v>1823</v>
      </c>
      <c r="L5" s="16">
        <v>3</v>
      </c>
      <c r="M5" s="19"/>
      <c r="N5" s="16" t="s">
        <v>1839</v>
      </c>
      <c r="O5" s="16">
        <v>3</v>
      </c>
      <c r="P5" s="16" t="s">
        <v>119</v>
      </c>
      <c r="Q5" s="16">
        <v>3</v>
      </c>
      <c r="R5" s="16" t="s">
        <v>1858</v>
      </c>
      <c r="V5" s="1" t="s">
        <v>22</v>
      </c>
      <c r="W5" s="1">
        <v>1</v>
      </c>
      <c r="AG5" s="16" t="s">
        <v>1866</v>
      </c>
      <c r="AH5" s="16">
        <v>2</v>
      </c>
      <c r="AJ5" s="31" t="s">
        <v>2468</v>
      </c>
      <c r="AK5" s="31">
        <v>1</v>
      </c>
    </row>
    <row r="6" spans="1:37" x14ac:dyDescent="0.25">
      <c r="A6" s="1" t="s">
        <v>87</v>
      </c>
      <c r="B6" s="1" t="s">
        <v>102</v>
      </c>
      <c r="C6" s="1" t="s">
        <v>120</v>
      </c>
      <c r="D6" s="16" t="s">
        <v>123</v>
      </c>
      <c r="G6" s="1" t="s">
        <v>308</v>
      </c>
      <c r="H6" s="1" t="s">
        <v>313</v>
      </c>
      <c r="I6" s="16" t="s">
        <v>123</v>
      </c>
      <c r="J6" s="1">
        <v>3</v>
      </c>
      <c r="K6" s="16" t="s">
        <v>1824</v>
      </c>
      <c r="L6" s="16">
        <v>4</v>
      </c>
      <c r="M6" s="19"/>
      <c r="N6" s="16" t="s">
        <v>1840</v>
      </c>
      <c r="O6" s="16">
        <v>4</v>
      </c>
      <c r="P6" s="16" t="s">
        <v>120</v>
      </c>
      <c r="Q6" s="16">
        <v>4</v>
      </c>
      <c r="R6" s="16" t="s">
        <v>1859</v>
      </c>
      <c r="V6" s="1" t="s">
        <v>23</v>
      </c>
      <c r="W6" s="1">
        <v>7</v>
      </c>
      <c r="AG6" s="16" t="s">
        <v>1867</v>
      </c>
      <c r="AH6" s="16">
        <v>3</v>
      </c>
      <c r="AJ6" s="31" t="s">
        <v>2469</v>
      </c>
      <c r="AK6" s="31">
        <v>2</v>
      </c>
    </row>
    <row r="7" spans="1:37" x14ac:dyDescent="0.25">
      <c r="A7" s="1" t="s">
        <v>88</v>
      </c>
      <c r="B7" s="1" t="s">
        <v>103</v>
      </c>
      <c r="D7" s="16" t="s">
        <v>124</v>
      </c>
      <c r="G7" s="1" t="s">
        <v>309</v>
      </c>
      <c r="H7" s="1" t="s">
        <v>314</v>
      </c>
      <c r="I7" s="16" t="s">
        <v>124</v>
      </c>
      <c r="J7" s="1">
        <v>4</v>
      </c>
      <c r="K7" s="16" t="s">
        <v>1825</v>
      </c>
      <c r="L7" s="16">
        <v>5</v>
      </c>
      <c r="M7" s="19"/>
      <c r="N7" s="16" t="s">
        <v>1831</v>
      </c>
      <c r="O7" s="16">
        <v>9</v>
      </c>
      <c r="R7" s="16" t="s">
        <v>1860</v>
      </c>
      <c r="V7" s="1" t="s">
        <v>24</v>
      </c>
      <c r="W7" s="1">
        <v>8</v>
      </c>
      <c r="AG7" s="16" t="s">
        <v>1868</v>
      </c>
      <c r="AH7" s="16">
        <v>4</v>
      </c>
      <c r="AJ7" s="31" t="s">
        <v>2470</v>
      </c>
      <c r="AK7" s="31">
        <v>3</v>
      </c>
    </row>
    <row r="8" spans="1:37" x14ac:dyDescent="0.25">
      <c r="A8" s="1" t="s">
        <v>89</v>
      </c>
      <c r="B8" s="1" t="s">
        <v>104</v>
      </c>
      <c r="D8" s="16" t="s">
        <v>125</v>
      </c>
      <c r="G8" s="1" t="s">
        <v>310</v>
      </c>
      <c r="H8" s="1" t="s">
        <v>318</v>
      </c>
      <c r="I8" s="16" t="s">
        <v>125</v>
      </c>
      <c r="J8" s="1">
        <v>5</v>
      </c>
      <c r="K8" s="16" t="s">
        <v>1826</v>
      </c>
      <c r="L8" s="16">
        <v>6</v>
      </c>
      <c r="R8" s="16" t="s">
        <v>1861</v>
      </c>
      <c r="V8" s="1" t="s">
        <v>1851</v>
      </c>
      <c r="W8" s="1">
        <v>9</v>
      </c>
      <c r="AG8" s="16" t="s">
        <v>1869</v>
      </c>
      <c r="AH8" s="16">
        <v>5</v>
      </c>
      <c r="AJ8" s="31" t="s">
        <v>2471</v>
      </c>
      <c r="AK8" s="31">
        <v>4</v>
      </c>
    </row>
    <row r="9" spans="1:37" x14ac:dyDescent="0.25">
      <c r="A9" s="1" t="s">
        <v>90</v>
      </c>
      <c r="B9" s="1" t="s">
        <v>105</v>
      </c>
      <c r="D9" s="16" t="s">
        <v>126</v>
      </c>
      <c r="H9" s="1" t="s">
        <v>317</v>
      </c>
      <c r="I9" s="16" t="s">
        <v>126</v>
      </c>
      <c r="J9" s="1">
        <v>6</v>
      </c>
      <c r="K9" s="16" t="s">
        <v>1827</v>
      </c>
      <c r="L9" s="16">
        <v>7</v>
      </c>
      <c r="R9" s="16" t="s">
        <v>1862</v>
      </c>
      <c r="AG9" s="16" t="s">
        <v>1870</v>
      </c>
      <c r="AH9" s="16">
        <v>6</v>
      </c>
      <c r="AJ9" s="31" t="s">
        <v>2472</v>
      </c>
      <c r="AK9" s="31">
        <v>5</v>
      </c>
    </row>
    <row r="10" spans="1:37" x14ac:dyDescent="0.25">
      <c r="A10" s="1" t="s">
        <v>91</v>
      </c>
      <c r="B10" s="1" t="s">
        <v>106</v>
      </c>
      <c r="D10" s="16" t="s">
        <v>127</v>
      </c>
      <c r="H10" s="1" t="s">
        <v>316</v>
      </c>
      <c r="I10" s="16" t="s">
        <v>127</v>
      </c>
      <c r="J10" s="1">
        <v>7</v>
      </c>
      <c r="K10" s="16" t="s">
        <v>1828</v>
      </c>
      <c r="L10" s="16">
        <v>8</v>
      </c>
      <c r="R10" s="16" t="s">
        <v>1863</v>
      </c>
      <c r="AG10" s="16" t="s">
        <v>1871</v>
      </c>
      <c r="AH10" s="16">
        <v>7</v>
      </c>
      <c r="AJ10" s="31" t="s">
        <v>2473</v>
      </c>
      <c r="AK10" s="31">
        <v>6</v>
      </c>
    </row>
    <row r="11" spans="1:37" x14ac:dyDescent="0.25">
      <c r="A11" s="1" t="s">
        <v>92</v>
      </c>
      <c r="B11" s="1" t="s">
        <v>107</v>
      </c>
      <c r="D11" s="16" t="s">
        <v>128</v>
      </c>
      <c r="H11" s="1" t="s">
        <v>315</v>
      </c>
      <c r="I11" s="16" t="s">
        <v>128</v>
      </c>
      <c r="J11" s="1">
        <v>8</v>
      </c>
      <c r="K11" s="16" t="s">
        <v>1829</v>
      </c>
      <c r="L11" s="16">
        <v>9</v>
      </c>
      <c r="AG11" s="16" t="s">
        <v>1872</v>
      </c>
      <c r="AH11" s="16">
        <v>8</v>
      </c>
      <c r="AJ11" s="31" t="s">
        <v>2474</v>
      </c>
      <c r="AK11" s="31">
        <v>7</v>
      </c>
    </row>
    <row r="12" spans="1:37" x14ac:dyDescent="0.25">
      <c r="A12" s="1" t="s">
        <v>93</v>
      </c>
      <c r="B12" s="1" t="s">
        <v>108</v>
      </c>
      <c r="D12" s="16" t="s">
        <v>129</v>
      </c>
      <c r="I12" s="16" t="s">
        <v>129</v>
      </c>
      <c r="J12" s="1">
        <v>9</v>
      </c>
      <c r="K12" s="16" t="s">
        <v>1830</v>
      </c>
      <c r="L12" s="16">
        <v>10</v>
      </c>
      <c r="AG12" s="16" t="s">
        <v>1090</v>
      </c>
      <c r="AH12" s="16">
        <v>9</v>
      </c>
      <c r="AJ12" s="31" t="s">
        <v>2475</v>
      </c>
      <c r="AK12" s="31">
        <v>8</v>
      </c>
    </row>
    <row r="13" spans="1:37" x14ac:dyDescent="0.25">
      <c r="A13" s="1" t="s">
        <v>94</v>
      </c>
      <c r="B13" s="1" t="s">
        <v>109</v>
      </c>
      <c r="D13" s="16" t="s">
        <v>131</v>
      </c>
      <c r="I13" s="16" t="s">
        <v>131</v>
      </c>
      <c r="J13" s="1">
        <v>10</v>
      </c>
      <c r="K13" s="16" t="s">
        <v>1831</v>
      </c>
      <c r="L13" s="16">
        <v>99</v>
      </c>
      <c r="AG13" s="16" t="s">
        <v>1873</v>
      </c>
      <c r="AH13" s="16">
        <v>10</v>
      </c>
      <c r="AJ13" s="31" t="s">
        <v>2476</v>
      </c>
      <c r="AK13" s="31">
        <v>9</v>
      </c>
    </row>
    <row r="14" spans="1:37" x14ac:dyDescent="0.25">
      <c r="A14" s="1" t="s">
        <v>95</v>
      </c>
      <c r="B14" s="1" t="s">
        <v>110</v>
      </c>
      <c r="D14" s="16" t="s">
        <v>130</v>
      </c>
      <c r="I14" s="16" t="s">
        <v>130</v>
      </c>
      <c r="J14" s="1">
        <v>11</v>
      </c>
      <c r="K14" s="16"/>
      <c r="L14" s="16"/>
      <c r="AG14" s="16" t="s">
        <v>1874</v>
      </c>
      <c r="AH14" s="16">
        <v>11</v>
      </c>
      <c r="AJ14" s="31" t="s">
        <v>2477</v>
      </c>
      <c r="AK14" s="31">
        <v>10</v>
      </c>
    </row>
    <row r="15" spans="1:37" x14ac:dyDescent="0.25">
      <c r="A15" s="1" t="s">
        <v>96</v>
      </c>
      <c r="B15" s="1" t="s">
        <v>111</v>
      </c>
      <c r="AG15" s="16" t="s">
        <v>1875</v>
      </c>
      <c r="AH15" s="16">
        <v>12</v>
      </c>
      <c r="AJ15" s="31" t="s">
        <v>2478</v>
      </c>
      <c r="AK15" s="31">
        <v>11</v>
      </c>
    </row>
    <row r="16" spans="1:37" x14ac:dyDescent="0.25">
      <c r="A16" s="1" t="s">
        <v>97</v>
      </c>
      <c r="B16" s="1" t="s">
        <v>112</v>
      </c>
      <c r="AG16" s="16" t="s">
        <v>1876</v>
      </c>
      <c r="AH16" s="16">
        <v>13</v>
      </c>
      <c r="AJ16" s="31" t="s">
        <v>2479</v>
      </c>
      <c r="AK16" s="31">
        <v>12</v>
      </c>
    </row>
    <row r="17" spans="1:37" x14ac:dyDescent="0.25">
      <c r="A17" s="1" t="s">
        <v>98</v>
      </c>
      <c r="B17" s="1" t="s">
        <v>113</v>
      </c>
      <c r="AG17" s="16" t="s">
        <v>1319</v>
      </c>
      <c r="AH17" s="16">
        <v>14</v>
      </c>
      <c r="AJ17" s="31" t="s">
        <v>2480</v>
      </c>
      <c r="AK17" s="31">
        <v>13</v>
      </c>
    </row>
    <row r="18" spans="1:37" x14ac:dyDescent="0.25">
      <c r="B18" s="1" t="s">
        <v>114</v>
      </c>
      <c r="AG18" s="16" t="s">
        <v>1877</v>
      </c>
      <c r="AH18" s="16">
        <v>15</v>
      </c>
      <c r="AJ18" s="31" t="s">
        <v>2481</v>
      </c>
      <c r="AK18" s="31">
        <v>14</v>
      </c>
    </row>
    <row r="19" spans="1:37" x14ac:dyDescent="0.25">
      <c r="B19" s="1" t="s">
        <v>115</v>
      </c>
      <c r="AG19" s="16" t="s">
        <v>1878</v>
      </c>
      <c r="AH19" s="16">
        <v>16</v>
      </c>
      <c r="AJ19" s="31" t="s">
        <v>2482</v>
      </c>
      <c r="AK19" s="31">
        <v>15</v>
      </c>
    </row>
    <row r="20" spans="1:37" x14ac:dyDescent="0.25">
      <c r="B20" s="1" t="s">
        <v>116</v>
      </c>
      <c r="AG20" s="16" t="s">
        <v>1879</v>
      </c>
      <c r="AH20" s="16">
        <v>17</v>
      </c>
      <c r="AJ20" s="31" t="s">
        <v>2483</v>
      </c>
      <c r="AK20" s="31">
        <v>16</v>
      </c>
    </row>
    <row r="21" spans="1:37" x14ac:dyDescent="0.25">
      <c r="B21" s="1" t="s">
        <v>117</v>
      </c>
      <c r="AG21" s="16" t="s">
        <v>1880</v>
      </c>
      <c r="AH21" s="16">
        <v>18</v>
      </c>
      <c r="AJ21" s="31" t="s">
        <v>2484</v>
      </c>
      <c r="AK21" s="31">
        <v>17</v>
      </c>
    </row>
    <row r="22" spans="1:37" ht="15.75" thickBot="1" x14ac:dyDescent="0.3">
      <c r="AG22" s="16" t="s">
        <v>1881</v>
      </c>
      <c r="AH22" s="16">
        <v>19</v>
      </c>
      <c r="AJ22" s="31" t="s">
        <v>2485</v>
      </c>
      <c r="AK22" s="31">
        <v>18</v>
      </c>
    </row>
    <row r="23" spans="1:37" ht="15.75" thickBot="1" x14ac:dyDescent="0.3">
      <c r="A23" s="2" t="s">
        <v>304</v>
      </c>
      <c r="B23" s="2" t="s">
        <v>305</v>
      </c>
      <c r="C23" s="2" t="s">
        <v>303</v>
      </c>
      <c r="D23" s="2" t="s">
        <v>303</v>
      </c>
      <c r="E23" s="2" t="s">
        <v>303</v>
      </c>
      <c r="F23" s="2" t="s">
        <v>303</v>
      </c>
      <c r="G23" s="2" t="s">
        <v>303</v>
      </c>
      <c r="H23" s="2" t="s">
        <v>747</v>
      </c>
      <c r="I23" s="2" t="s">
        <v>1759</v>
      </c>
      <c r="J23" s="2" t="s">
        <v>1813</v>
      </c>
      <c r="K23" s="2" t="s">
        <v>1814</v>
      </c>
      <c r="L23" s="2" t="s">
        <v>1815</v>
      </c>
      <c r="M23" s="2" t="s">
        <v>529</v>
      </c>
      <c r="N23" s="2" t="s">
        <v>1817</v>
      </c>
      <c r="O23" s="2" t="s">
        <v>1818</v>
      </c>
      <c r="P23" s="2" t="s">
        <v>533</v>
      </c>
      <c r="Q23" s="2" t="s">
        <v>1819</v>
      </c>
      <c r="R23" s="2" t="s">
        <v>1820</v>
      </c>
      <c r="S23" s="2" t="s">
        <v>1832</v>
      </c>
      <c r="T23" s="2" t="s">
        <v>1841</v>
      </c>
      <c r="U23" s="2" t="s">
        <v>543</v>
      </c>
      <c r="V23" s="2" t="s">
        <v>544</v>
      </c>
      <c r="W23" s="2" t="s">
        <v>545</v>
      </c>
      <c r="X23" s="2" t="s">
        <v>1844</v>
      </c>
      <c r="Y23" s="2" t="s">
        <v>1813</v>
      </c>
      <c r="Z23" s="2" t="s">
        <v>1848</v>
      </c>
      <c r="AA23" s="2" t="s">
        <v>1849</v>
      </c>
      <c r="AB23" s="2" t="s">
        <v>1850</v>
      </c>
      <c r="AC23" s="2" t="s">
        <v>540</v>
      </c>
      <c r="AD23" s="2" t="s">
        <v>539</v>
      </c>
      <c r="AE23" s="51" t="s">
        <v>537</v>
      </c>
      <c r="AG23" s="16" t="s">
        <v>1882</v>
      </c>
      <c r="AH23" s="16">
        <v>20</v>
      </c>
      <c r="AJ23" s="31" t="s">
        <v>2486</v>
      </c>
      <c r="AK23" s="31">
        <v>19</v>
      </c>
    </row>
    <row r="24" spans="1:37" x14ac:dyDescent="0.25">
      <c r="A24" s="1" t="s">
        <v>78</v>
      </c>
      <c r="B24" s="1" t="s">
        <v>132</v>
      </c>
      <c r="C24" s="1" t="s">
        <v>79</v>
      </c>
      <c r="D24" s="1" t="str">
        <f>'NUEVOS 2019 '!$H$6&amp;'NUEVOS 2019 '!$L$7</f>
        <v/>
      </c>
      <c r="E24" s="1" t="str">
        <f t="shared" ref="E24:E55" si="0">IF($D$24=D25,C25," ")</f>
        <v xml:space="preserve"> </v>
      </c>
      <c r="F24" s="1" t="str">
        <f t="shared" ref="F24:F55" si="1">TEXT(E24,"#")</f>
        <v xml:space="preserve"> </v>
      </c>
      <c r="G24" s="1" t="str">
        <f>'NUEVOS 2019 '!$H$6&amp;'NUEVOS 2019 '!$L$7&amp;'NUEVOS 2019 '!$I$8</f>
        <v xml:space="preserve"> </v>
      </c>
      <c r="H24" s="47" t="e">
        <f>VLOOKUP(G24,'COD DANES'!$F$5:$G$199,2,FALSE)</f>
        <v>#N/A</v>
      </c>
      <c r="I24" s="13"/>
      <c r="J24" s="1" t="str">
        <f>IFERROR(IF('NUEVOS 2019 '!H14="X",5,IF('NUEVOS 2019 '!J14="X",2,IF('NUEVOS 2019 '!L14="X",1,IF('NUEVOS 2019 '!N14="X",3,IF('NUEVOS 2019 '!Q14="X",9," ")))))," ")</f>
        <v xml:space="preserve"> </v>
      </c>
      <c r="K24" s="1" t="str">
        <f>IFERROR(VLOOKUP('NUEVOS 2019 '!J15,'cod mun'!$A$1:$B$1132,2,FALSE)," ")</f>
        <v xml:space="preserve"> </v>
      </c>
      <c r="L24" s="1" t="str">
        <f>IFERROR(VLOOKUP('NUEVOS 2019 '!X15,'cod mun'!$C$1:$D$1132,2,FALSE)," ")</f>
        <v xml:space="preserve"> </v>
      </c>
      <c r="M24" s="1" t="str">
        <f>IFERROR(VLOOKUP('NUEVOS 2019 '!$Y$7,Hoja3!$I$3:$J$14,2,FALSE)," ")</f>
        <v xml:space="preserve"> </v>
      </c>
      <c r="N24" s="1" t="str">
        <f>IFERROR(VLOOKUP('NUEVOS 2019 '!K17,'cod mun'!$A$1:$B$1132,2,FALSE)," ")</f>
        <v xml:space="preserve"> </v>
      </c>
      <c r="O24" s="1" t="str">
        <f>IFERROR(VLOOKUP('NUEVOS 2019 '!X17,'cod mun'!$C$1:$D$1132,2,FALSE)," ")</f>
        <v xml:space="preserve"> </v>
      </c>
      <c r="P24" s="1" t="str">
        <f>IFERROR(IF('NUEVOS 2019 '!J16="X","M","F")," ")</f>
        <v>F</v>
      </c>
      <c r="Q24" s="1" t="str">
        <f>IFERROR(VLOOKUP('NUEVOS 2019 '!M23,'cod mun'!$A$1:$B$1132,2,FALSE)," ")</f>
        <v xml:space="preserve"> </v>
      </c>
      <c r="R24" s="1" t="str">
        <f>IFERROR(VLOOKUP('NUEVOS 2019 '!K24,'cod mun'!$C$1:$D$1132,2,FALSE)," ")</f>
        <v xml:space="preserve"> </v>
      </c>
      <c r="S24" s="1">
        <f>IFERROR(VLOOKUP('NUEVOS 2019 '!J41,Hoja3!K3:L13,2,FALSE),99)</f>
        <v>99</v>
      </c>
      <c r="T24" s="1">
        <f>IFERROR(VLOOKUP('NUEVOS 2019 '!Y41,N3:O8,2,FALSE),9)</f>
        <v>9</v>
      </c>
      <c r="U24" s="1" t="str">
        <f>IFERROR(VLOOKUP('NUEVOS 2019 '!Y6,Hoja3!$P$3:$Q$6,2,FALSE)," ")</f>
        <v xml:space="preserve"> </v>
      </c>
      <c r="V24" s="1" t="str">
        <f>IFERROR(IF('NUEVOS 2019 '!V10="X","S","N")," ")</f>
        <v>N</v>
      </c>
      <c r="W24" s="1" t="str">
        <f>IFERROR(IF('NUEVOS 2019 '!AC10="X","S","N")," ")</f>
        <v>N</v>
      </c>
      <c r="X24" s="1">
        <f>IFERROR(IF('NUEVOS 2019 '!O10="X",1,IF('NUEVOS 2019 '!S10="X",2,8))," ")</f>
        <v>8</v>
      </c>
      <c r="Y24" s="1">
        <f>IFERROR(IF('NUEVOS 2019 '!H48="X",5,IF('NUEVOS 2019 '!J48="X",2,IF('NUEVOS 2019 '!L48="X",1,IF('NUEVOS 2019 '!N48="X",3,IF('NUEVOS 2019 '!Q48="X",9,0)))))," ")</f>
        <v>0</v>
      </c>
      <c r="Z24" s="1" t="str">
        <f>'NUEVOS 2019 '!Y48</f>
        <v xml:space="preserve"> </v>
      </c>
      <c r="AA24" s="1" t="str">
        <f>IFERROR(VLOOKUP('NUEVOS 2019 '!J49,'cod mun'!$A$1:$B$1132,2,FALSE)," ")</f>
        <v xml:space="preserve"> </v>
      </c>
      <c r="AB24" s="1" t="str">
        <f>IFERROR(VLOOKUP('NUEVOS 2019 '!W49,'cod mun'!$C$1:$D$1132,2,FALSE)," ")</f>
        <v xml:space="preserve"> </v>
      </c>
      <c r="AC24" s="1" t="str">
        <f>IFERROR(IFERROR(VLOOKUP('NUEVOS 2019 '!H38,$AG$4:$AH$647,2,FALSE)," ")," ")</f>
        <v xml:space="preserve"> </v>
      </c>
      <c r="AD24" s="1" t="str">
        <f>IFERROR(VLOOKUP('NUEVOS 2019 '!T38,$AJ$4:$AK$88,2,FALSE)," ")</f>
        <v xml:space="preserve"> </v>
      </c>
      <c r="AE24" s="1">
        <f>IFERROR(IF('NUEVOS 2019 '!N31="X",1,99)," ")</f>
        <v>99</v>
      </c>
      <c r="AG24" s="16" t="s">
        <v>1883</v>
      </c>
      <c r="AH24" s="16">
        <v>21</v>
      </c>
      <c r="AJ24" s="31" t="s">
        <v>2487</v>
      </c>
      <c r="AK24" s="31">
        <v>20</v>
      </c>
    </row>
    <row r="25" spans="1:37" x14ac:dyDescent="0.25">
      <c r="A25" s="1" t="s">
        <v>81</v>
      </c>
      <c r="B25" s="1" t="s">
        <v>99</v>
      </c>
      <c r="C25" s="1" t="s">
        <v>133</v>
      </c>
      <c r="D25" s="1" t="str">
        <f t="shared" ref="D25:D56" si="2">A25&amp;B25</f>
        <v>AGUACHICAC.E. SANTA ROSA DE CARACOL</v>
      </c>
      <c r="E25" s="1" t="str">
        <f t="shared" si="0"/>
        <v xml:space="preserve"> </v>
      </c>
      <c r="F25" s="1" t="str">
        <f t="shared" si="1"/>
        <v xml:space="preserve"> </v>
      </c>
      <c r="I25" s="1" t="s">
        <v>762</v>
      </c>
      <c r="AG25" s="16" t="s">
        <v>1884</v>
      </c>
      <c r="AH25" s="16">
        <v>22</v>
      </c>
      <c r="AJ25" s="31" t="s">
        <v>2488</v>
      </c>
      <c r="AK25" s="31">
        <v>21</v>
      </c>
    </row>
    <row r="26" spans="1:37" x14ac:dyDescent="0.25">
      <c r="A26" s="1" t="s">
        <v>81</v>
      </c>
      <c r="B26" s="1" t="s">
        <v>99</v>
      </c>
      <c r="C26" s="1" t="s">
        <v>134</v>
      </c>
      <c r="D26" s="1" t="str">
        <f t="shared" si="2"/>
        <v>AGUACHICAC.E. SANTA ROSA DE CARACOL</v>
      </c>
      <c r="E26" s="1" t="str">
        <f t="shared" si="0"/>
        <v xml:space="preserve"> </v>
      </c>
      <c r="F26" s="1" t="str">
        <f t="shared" si="1"/>
        <v xml:space="preserve"> </v>
      </c>
      <c r="I26" s="1" t="s">
        <v>1760</v>
      </c>
      <c r="AG26" s="16" t="s">
        <v>1885</v>
      </c>
      <c r="AH26" s="16">
        <v>23</v>
      </c>
      <c r="AJ26" s="31" t="s">
        <v>2489</v>
      </c>
      <c r="AK26" s="31">
        <v>22</v>
      </c>
    </row>
    <row r="27" spans="1:37" x14ac:dyDescent="0.25">
      <c r="A27" s="1" t="s">
        <v>81</v>
      </c>
      <c r="B27" s="1" t="s">
        <v>99</v>
      </c>
      <c r="C27" s="1" t="s">
        <v>135</v>
      </c>
      <c r="D27" s="1" t="str">
        <f t="shared" si="2"/>
        <v>AGUACHICAC.E. SANTA ROSA DE CARACOL</v>
      </c>
      <c r="E27" s="1" t="str">
        <f t="shared" si="0"/>
        <v xml:space="preserve"> </v>
      </c>
      <c r="F27" s="1" t="str">
        <f t="shared" si="1"/>
        <v xml:space="preserve"> </v>
      </c>
      <c r="I27" s="1" t="s">
        <v>1794</v>
      </c>
      <c r="AG27" s="16" t="s">
        <v>1886</v>
      </c>
      <c r="AH27" s="16">
        <v>24</v>
      </c>
      <c r="AJ27" s="31" t="s">
        <v>2490</v>
      </c>
      <c r="AK27" s="31">
        <v>23</v>
      </c>
    </row>
    <row r="28" spans="1:37" x14ac:dyDescent="0.25">
      <c r="A28" s="1" t="s">
        <v>81</v>
      </c>
      <c r="B28" s="1" t="s">
        <v>99</v>
      </c>
      <c r="C28" s="1" t="s">
        <v>136</v>
      </c>
      <c r="D28" s="1" t="str">
        <f t="shared" si="2"/>
        <v>AGUACHICAC.E. SANTA ROSA DE CARACOL</v>
      </c>
      <c r="E28" s="1" t="str">
        <f t="shared" si="0"/>
        <v xml:space="preserve"> </v>
      </c>
      <c r="F28" s="1" t="str">
        <f t="shared" si="1"/>
        <v xml:space="preserve"> </v>
      </c>
      <c r="I28" s="1" t="s">
        <v>773</v>
      </c>
      <c r="AG28" s="16" t="s">
        <v>1887</v>
      </c>
      <c r="AH28" s="16">
        <v>25</v>
      </c>
      <c r="AJ28" s="31" t="s">
        <v>2491</v>
      </c>
      <c r="AK28" s="31">
        <v>24</v>
      </c>
    </row>
    <row r="29" spans="1:37" x14ac:dyDescent="0.25">
      <c r="A29" s="1" t="s">
        <v>81</v>
      </c>
      <c r="B29" s="1" t="s">
        <v>99</v>
      </c>
      <c r="C29" s="1" t="s">
        <v>137</v>
      </c>
      <c r="D29" s="1" t="str">
        <f t="shared" si="2"/>
        <v>AGUACHICAC.E. SANTA ROSA DE CARACOL</v>
      </c>
      <c r="E29" s="1" t="str">
        <f t="shared" si="0"/>
        <v xml:space="preserve"> </v>
      </c>
      <c r="F29" s="1" t="str">
        <f t="shared" si="1"/>
        <v xml:space="preserve"> </v>
      </c>
      <c r="I29" s="1" t="s">
        <v>950</v>
      </c>
      <c r="AG29" s="16" t="s">
        <v>1888</v>
      </c>
      <c r="AH29" s="16">
        <v>26</v>
      </c>
      <c r="AJ29" s="31" t="s">
        <v>2492</v>
      </c>
      <c r="AK29" s="31">
        <v>26</v>
      </c>
    </row>
    <row r="30" spans="1:37" x14ac:dyDescent="0.25">
      <c r="A30" s="1" t="s">
        <v>81</v>
      </c>
      <c r="B30" s="1" t="s">
        <v>99</v>
      </c>
      <c r="C30" s="1" t="s">
        <v>138</v>
      </c>
      <c r="D30" s="1" t="str">
        <f t="shared" si="2"/>
        <v>AGUACHICAC.E. SANTA ROSA DE CARACOL</v>
      </c>
      <c r="E30" s="1" t="str">
        <f t="shared" si="0"/>
        <v xml:space="preserve"> </v>
      </c>
      <c r="F30" s="1" t="str">
        <f t="shared" si="1"/>
        <v xml:space="preserve"> </v>
      </c>
      <c r="I30" s="1" t="s">
        <v>778</v>
      </c>
      <c r="AG30" s="16" t="s">
        <v>1889</v>
      </c>
      <c r="AH30" s="16">
        <v>27</v>
      </c>
      <c r="AJ30" s="31" t="s">
        <v>2493</v>
      </c>
      <c r="AK30" s="31">
        <v>27</v>
      </c>
    </row>
    <row r="31" spans="1:37" x14ac:dyDescent="0.25">
      <c r="A31" s="1" t="s">
        <v>81</v>
      </c>
      <c r="B31" s="1" t="s">
        <v>99</v>
      </c>
      <c r="C31" s="1" t="s">
        <v>139</v>
      </c>
      <c r="D31" s="1" t="str">
        <f t="shared" si="2"/>
        <v>AGUACHICAC.E. SANTA ROSA DE CARACOL</v>
      </c>
      <c r="E31" s="1" t="str">
        <f t="shared" si="0"/>
        <v xml:space="preserve"> </v>
      </c>
      <c r="F31" s="1" t="str">
        <f t="shared" si="1"/>
        <v xml:space="preserve"> </v>
      </c>
      <c r="I31" s="1" t="s">
        <v>1761</v>
      </c>
      <c r="AG31" s="16" t="s">
        <v>1890</v>
      </c>
      <c r="AH31" s="16">
        <v>28</v>
      </c>
      <c r="AJ31" s="31" t="s">
        <v>2494</v>
      </c>
      <c r="AK31" s="31">
        <v>28</v>
      </c>
    </row>
    <row r="32" spans="1:37" x14ac:dyDescent="0.25">
      <c r="A32" s="1" t="s">
        <v>81</v>
      </c>
      <c r="B32" s="1" t="s">
        <v>99</v>
      </c>
      <c r="C32" s="1" t="s">
        <v>140</v>
      </c>
      <c r="D32" s="1" t="str">
        <f t="shared" si="2"/>
        <v>AGUACHICAC.E. SANTA ROSA DE CARACOL</v>
      </c>
      <c r="E32" s="1" t="str">
        <f t="shared" si="0"/>
        <v xml:space="preserve"> </v>
      </c>
      <c r="F32" s="1" t="str">
        <f t="shared" si="1"/>
        <v xml:space="preserve"> </v>
      </c>
      <c r="I32" s="1" t="s">
        <v>1762</v>
      </c>
      <c r="AG32" s="16" t="s">
        <v>1891</v>
      </c>
      <c r="AH32" s="16">
        <v>29</v>
      </c>
      <c r="AJ32" s="31" t="s">
        <v>2495</v>
      </c>
      <c r="AK32" s="31">
        <v>29</v>
      </c>
    </row>
    <row r="33" spans="1:37" x14ac:dyDescent="0.25">
      <c r="A33" s="1" t="s">
        <v>81</v>
      </c>
      <c r="B33" s="1" t="s">
        <v>99</v>
      </c>
      <c r="C33" s="1" t="s">
        <v>141</v>
      </c>
      <c r="D33" s="1" t="str">
        <f t="shared" si="2"/>
        <v>AGUACHICAC.E. SANTA ROSA DE CARACOL</v>
      </c>
      <c r="E33" s="1" t="str">
        <f t="shared" si="0"/>
        <v xml:space="preserve"> </v>
      </c>
      <c r="F33" s="1" t="str">
        <f t="shared" si="1"/>
        <v xml:space="preserve"> </v>
      </c>
      <c r="I33" s="1" t="s">
        <v>1763</v>
      </c>
      <c r="AG33" s="16" t="s">
        <v>760</v>
      </c>
      <c r="AH33" s="16">
        <v>30</v>
      </c>
      <c r="AJ33" s="31" t="s">
        <v>2496</v>
      </c>
      <c r="AK33" s="31">
        <v>30</v>
      </c>
    </row>
    <row r="34" spans="1:37" x14ac:dyDescent="0.25">
      <c r="A34" s="1" t="s">
        <v>81</v>
      </c>
      <c r="B34" s="1" t="s">
        <v>99</v>
      </c>
      <c r="C34" s="1" t="s">
        <v>142</v>
      </c>
      <c r="D34" s="1" t="str">
        <f t="shared" si="2"/>
        <v>AGUACHICAC.E. SANTA ROSA DE CARACOL</v>
      </c>
      <c r="E34" s="1" t="str">
        <f t="shared" si="0"/>
        <v xml:space="preserve"> </v>
      </c>
      <c r="F34" s="1" t="str">
        <f t="shared" si="1"/>
        <v xml:space="preserve"> </v>
      </c>
      <c r="I34" s="1" t="s">
        <v>907</v>
      </c>
      <c r="AG34" s="16" t="s">
        <v>1892</v>
      </c>
      <c r="AH34" s="16">
        <v>31</v>
      </c>
      <c r="AJ34" s="31" t="s">
        <v>2497</v>
      </c>
      <c r="AK34" s="31">
        <v>31</v>
      </c>
    </row>
    <row r="35" spans="1:37" x14ac:dyDescent="0.25">
      <c r="A35" s="1" t="s">
        <v>81</v>
      </c>
      <c r="B35" s="1" t="s">
        <v>99</v>
      </c>
      <c r="C35" s="1" t="s">
        <v>143</v>
      </c>
      <c r="D35" s="1" t="str">
        <f t="shared" si="2"/>
        <v>AGUACHICAC.E. SANTA ROSA DE CARACOL</v>
      </c>
      <c r="E35" s="1" t="str">
        <f t="shared" si="0"/>
        <v xml:space="preserve"> </v>
      </c>
      <c r="F35" s="1" t="str">
        <f t="shared" si="1"/>
        <v xml:space="preserve"> </v>
      </c>
      <c r="I35" s="1" t="s">
        <v>1764</v>
      </c>
      <c r="AG35" s="16" t="s">
        <v>1893</v>
      </c>
      <c r="AH35" s="16">
        <v>32</v>
      </c>
      <c r="AJ35" s="31" t="s">
        <v>2498</v>
      </c>
      <c r="AK35" s="31">
        <v>33</v>
      </c>
    </row>
    <row r="36" spans="1:37" x14ac:dyDescent="0.25">
      <c r="A36" s="1" t="s">
        <v>81</v>
      </c>
      <c r="B36" s="1" t="s">
        <v>99</v>
      </c>
      <c r="C36" s="1" t="s">
        <v>144</v>
      </c>
      <c r="D36" s="1" t="str">
        <f t="shared" si="2"/>
        <v>AGUACHICAC.E. SANTA ROSA DE CARACOL</v>
      </c>
      <c r="E36" s="1" t="str">
        <f t="shared" si="0"/>
        <v xml:space="preserve"> </v>
      </c>
      <c r="F36" s="1" t="str">
        <f t="shared" si="1"/>
        <v xml:space="preserve"> </v>
      </c>
      <c r="I36" s="1" t="s">
        <v>1765</v>
      </c>
      <c r="AG36" s="16" t="s">
        <v>1894</v>
      </c>
      <c r="AH36" s="16">
        <v>33</v>
      </c>
      <c r="AJ36" s="31" t="s">
        <v>2499</v>
      </c>
      <c r="AK36" s="31">
        <v>34</v>
      </c>
    </row>
    <row r="37" spans="1:37" x14ac:dyDescent="0.25">
      <c r="A37" s="1" t="s">
        <v>81</v>
      </c>
      <c r="B37" s="1" t="s">
        <v>99</v>
      </c>
      <c r="C37" s="1" t="s">
        <v>145</v>
      </c>
      <c r="D37" s="1" t="str">
        <f t="shared" si="2"/>
        <v>AGUACHICAC.E. SANTA ROSA DE CARACOL</v>
      </c>
      <c r="E37" s="1" t="str">
        <f t="shared" si="0"/>
        <v xml:space="preserve"> </v>
      </c>
      <c r="F37" s="1" t="str">
        <f t="shared" si="1"/>
        <v xml:space="preserve"> </v>
      </c>
      <c r="I37" s="1" t="s">
        <v>1766</v>
      </c>
      <c r="AG37" s="16" t="s">
        <v>1895</v>
      </c>
      <c r="AH37" s="16">
        <v>34</v>
      </c>
      <c r="AJ37" s="31" t="s">
        <v>2500</v>
      </c>
      <c r="AK37" s="31">
        <v>35</v>
      </c>
    </row>
    <row r="38" spans="1:37" x14ac:dyDescent="0.25">
      <c r="A38" s="1" t="s">
        <v>81</v>
      </c>
      <c r="B38" s="1" t="s">
        <v>99</v>
      </c>
      <c r="C38" s="1" t="s">
        <v>146</v>
      </c>
      <c r="D38" s="1" t="str">
        <f t="shared" si="2"/>
        <v>AGUACHICAC.E. SANTA ROSA DE CARACOL</v>
      </c>
      <c r="E38" s="1" t="str">
        <f t="shared" si="0"/>
        <v xml:space="preserve"> </v>
      </c>
      <c r="F38" s="1" t="str">
        <f t="shared" si="1"/>
        <v xml:space="preserve"> </v>
      </c>
      <c r="I38" s="1" t="s">
        <v>1791</v>
      </c>
      <c r="AG38" s="16" t="s">
        <v>1896</v>
      </c>
      <c r="AH38" s="16">
        <v>35</v>
      </c>
      <c r="AJ38" s="31" t="s">
        <v>2501</v>
      </c>
      <c r="AK38" s="31">
        <v>36</v>
      </c>
    </row>
    <row r="39" spans="1:37" x14ac:dyDescent="0.25">
      <c r="A39" s="1" t="s">
        <v>81</v>
      </c>
      <c r="B39" s="1" t="s">
        <v>99</v>
      </c>
      <c r="C39" s="1" t="s">
        <v>147</v>
      </c>
      <c r="D39" s="1" t="str">
        <f t="shared" si="2"/>
        <v>AGUACHICAC.E. SANTA ROSA DE CARACOL</v>
      </c>
      <c r="E39" s="1" t="str">
        <f t="shared" si="0"/>
        <v xml:space="preserve"> </v>
      </c>
      <c r="F39" s="1" t="str">
        <f t="shared" si="1"/>
        <v xml:space="preserve"> </v>
      </c>
      <c r="I39" s="1" t="s">
        <v>1768</v>
      </c>
      <c r="AG39" s="16" t="s">
        <v>1897</v>
      </c>
      <c r="AH39" s="16">
        <v>36</v>
      </c>
      <c r="AJ39" s="31" t="s">
        <v>2502</v>
      </c>
      <c r="AK39" s="31">
        <v>37</v>
      </c>
    </row>
    <row r="40" spans="1:37" x14ac:dyDescent="0.25">
      <c r="A40" s="1" t="s">
        <v>81</v>
      </c>
      <c r="B40" s="1" t="s">
        <v>99</v>
      </c>
      <c r="C40" s="1" t="s">
        <v>148</v>
      </c>
      <c r="D40" s="1" t="str">
        <f t="shared" si="2"/>
        <v>AGUACHICAC.E. SANTA ROSA DE CARACOL</v>
      </c>
      <c r="E40" s="1" t="str">
        <f t="shared" si="0"/>
        <v xml:space="preserve"> </v>
      </c>
      <c r="F40" s="1" t="str">
        <f t="shared" si="1"/>
        <v xml:space="preserve"> </v>
      </c>
      <c r="I40" s="1" t="s">
        <v>1769</v>
      </c>
      <c r="AG40" s="16" t="s">
        <v>1898</v>
      </c>
      <c r="AH40" s="16">
        <v>37</v>
      </c>
      <c r="AJ40" s="31" t="s">
        <v>2503</v>
      </c>
      <c r="AK40" s="31">
        <v>38</v>
      </c>
    </row>
    <row r="41" spans="1:37" x14ac:dyDescent="0.25">
      <c r="A41" s="1" t="s">
        <v>81</v>
      </c>
      <c r="B41" s="1" t="s">
        <v>99</v>
      </c>
      <c r="C41" s="1" t="s">
        <v>149</v>
      </c>
      <c r="D41" s="1" t="str">
        <f t="shared" si="2"/>
        <v>AGUACHICAC.E. SANTA ROSA DE CARACOL</v>
      </c>
      <c r="E41" s="1" t="str">
        <f t="shared" si="0"/>
        <v xml:space="preserve"> </v>
      </c>
      <c r="F41" s="1" t="str">
        <f t="shared" si="1"/>
        <v xml:space="preserve"> </v>
      </c>
      <c r="I41" s="1" t="s">
        <v>824</v>
      </c>
      <c r="AG41" s="16" t="s">
        <v>1899</v>
      </c>
      <c r="AH41" s="16">
        <v>38</v>
      </c>
      <c r="AJ41" s="31" t="s">
        <v>2504</v>
      </c>
      <c r="AK41" s="31">
        <v>39</v>
      </c>
    </row>
    <row r="42" spans="1:37" x14ac:dyDescent="0.25">
      <c r="A42" s="1" t="s">
        <v>81</v>
      </c>
      <c r="B42" s="1" t="s">
        <v>99</v>
      </c>
      <c r="C42" s="1" t="s">
        <v>150</v>
      </c>
      <c r="D42" s="1" t="str">
        <f t="shared" si="2"/>
        <v>AGUACHICAC.E. SANTA ROSA DE CARACOL</v>
      </c>
      <c r="E42" s="1" t="str">
        <f t="shared" si="0"/>
        <v xml:space="preserve"> </v>
      </c>
      <c r="F42" s="1" t="str">
        <f t="shared" si="1"/>
        <v xml:space="preserve"> </v>
      </c>
      <c r="I42" s="1" t="s">
        <v>1781</v>
      </c>
      <c r="AG42" s="16" t="s">
        <v>1900</v>
      </c>
      <c r="AH42" s="16">
        <v>39</v>
      </c>
      <c r="AJ42" s="31" t="s">
        <v>2505</v>
      </c>
      <c r="AK42" s="31">
        <v>40</v>
      </c>
    </row>
    <row r="43" spans="1:37" x14ac:dyDescent="0.25">
      <c r="A43" s="1" t="s">
        <v>81</v>
      </c>
      <c r="B43" s="1" t="s">
        <v>100</v>
      </c>
      <c r="C43" s="1" t="s">
        <v>100</v>
      </c>
      <c r="D43" s="1" t="str">
        <f t="shared" si="2"/>
        <v>AGUACHICAC.E. SANTO DOMINGO</v>
      </c>
      <c r="E43" s="1" t="str">
        <f t="shared" si="0"/>
        <v xml:space="preserve"> </v>
      </c>
      <c r="F43" s="1" t="str">
        <f t="shared" si="1"/>
        <v xml:space="preserve"> </v>
      </c>
      <c r="I43" s="1" t="s">
        <v>1770</v>
      </c>
      <c r="AG43" s="16" t="s">
        <v>1901</v>
      </c>
      <c r="AH43" s="16">
        <v>40</v>
      </c>
      <c r="AJ43" s="31" t="s">
        <v>2506</v>
      </c>
      <c r="AK43" s="31">
        <v>41</v>
      </c>
    </row>
    <row r="44" spans="1:37" x14ac:dyDescent="0.25">
      <c r="A44" s="1" t="s">
        <v>81</v>
      </c>
      <c r="B44" s="1" t="s">
        <v>100</v>
      </c>
      <c r="C44" s="1" t="s">
        <v>151</v>
      </c>
      <c r="D44" s="1" t="str">
        <f t="shared" si="2"/>
        <v>AGUACHICAC.E. SANTO DOMINGO</v>
      </c>
      <c r="E44" s="1" t="str">
        <f t="shared" si="0"/>
        <v xml:space="preserve"> </v>
      </c>
      <c r="F44" s="1" t="str">
        <f t="shared" si="1"/>
        <v xml:space="preserve"> </v>
      </c>
      <c r="I44" s="1" t="s">
        <v>1081</v>
      </c>
      <c r="AG44" s="16" t="s">
        <v>1902</v>
      </c>
      <c r="AH44" s="16">
        <v>41</v>
      </c>
      <c r="AJ44" s="31" t="s">
        <v>2507</v>
      </c>
      <c r="AK44" s="31">
        <v>42</v>
      </c>
    </row>
    <row r="45" spans="1:37" x14ac:dyDescent="0.25">
      <c r="A45" s="1" t="s">
        <v>81</v>
      </c>
      <c r="B45" s="1" t="s">
        <v>100</v>
      </c>
      <c r="C45" s="1" t="s">
        <v>152</v>
      </c>
      <c r="D45" s="1" t="str">
        <f t="shared" si="2"/>
        <v>AGUACHICAC.E. SANTO DOMINGO</v>
      </c>
      <c r="E45" s="1" t="str">
        <f t="shared" si="0"/>
        <v xml:space="preserve"> </v>
      </c>
      <c r="F45" s="1" t="str">
        <f t="shared" si="1"/>
        <v xml:space="preserve"> </v>
      </c>
      <c r="I45" s="1" t="s">
        <v>1771</v>
      </c>
      <c r="AG45" s="16" t="s">
        <v>1903</v>
      </c>
      <c r="AH45" s="16">
        <v>42</v>
      </c>
      <c r="AJ45" s="31" t="s">
        <v>2508</v>
      </c>
      <c r="AK45" s="31">
        <v>43</v>
      </c>
    </row>
    <row r="46" spans="1:37" x14ac:dyDescent="0.25">
      <c r="A46" s="1" t="s">
        <v>81</v>
      </c>
      <c r="B46" s="1" t="s">
        <v>100</v>
      </c>
      <c r="C46" s="1" t="s">
        <v>153</v>
      </c>
      <c r="D46" s="1" t="str">
        <f t="shared" si="2"/>
        <v>AGUACHICAC.E. SANTO DOMINGO</v>
      </c>
      <c r="E46" s="1" t="str">
        <f t="shared" si="0"/>
        <v xml:space="preserve"> </v>
      </c>
      <c r="F46" s="1" t="str">
        <f t="shared" si="1"/>
        <v xml:space="preserve"> </v>
      </c>
      <c r="I46" s="1" t="s">
        <v>1586</v>
      </c>
      <c r="AG46" s="16" t="s">
        <v>1904</v>
      </c>
      <c r="AH46" s="16">
        <v>43</v>
      </c>
      <c r="AJ46" s="31" t="s">
        <v>2509</v>
      </c>
      <c r="AK46" s="31">
        <v>44</v>
      </c>
    </row>
    <row r="47" spans="1:37" x14ac:dyDescent="0.25">
      <c r="A47" s="1" t="s">
        <v>81</v>
      </c>
      <c r="B47" s="1" t="s">
        <v>100</v>
      </c>
      <c r="C47" s="1" t="s">
        <v>154</v>
      </c>
      <c r="D47" s="1" t="str">
        <f t="shared" si="2"/>
        <v>AGUACHICAC.E. SANTO DOMINGO</v>
      </c>
      <c r="E47" s="1" t="str">
        <f t="shared" si="0"/>
        <v xml:space="preserve"> </v>
      </c>
      <c r="F47" s="1" t="str">
        <f t="shared" si="1"/>
        <v xml:space="preserve"> </v>
      </c>
      <c r="I47" s="1" t="s">
        <v>1772</v>
      </c>
      <c r="AG47" s="16" t="s">
        <v>1905</v>
      </c>
      <c r="AH47" s="16">
        <v>44</v>
      </c>
      <c r="AJ47" s="31" t="s">
        <v>2510</v>
      </c>
      <c r="AK47" s="31">
        <v>45</v>
      </c>
    </row>
    <row r="48" spans="1:37" x14ac:dyDescent="0.25">
      <c r="A48" s="1" t="s">
        <v>81</v>
      </c>
      <c r="B48" s="1" t="s">
        <v>100</v>
      </c>
      <c r="C48" s="1" t="s">
        <v>155</v>
      </c>
      <c r="D48" s="1" t="str">
        <f t="shared" si="2"/>
        <v>AGUACHICAC.E. SANTO DOMINGO</v>
      </c>
      <c r="E48" s="1" t="str">
        <f t="shared" si="0"/>
        <v xml:space="preserve"> </v>
      </c>
      <c r="F48" s="1" t="str">
        <f t="shared" si="1"/>
        <v xml:space="preserve"> </v>
      </c>
      <c r="I48" s="1" t="s">
        <v>1790</v>
      </c>
      <c r="AG48" s="16" t="s">
        <v>1906</v>
      </c>
      <c r="AH48" s="16">
        <v>45</v>
      </c>
      <c r="AJ48" s="31" t="s">
        <v>2511</v>
      </c>
      <c r="AK48" s="31">
        <v>46</v>
      </c>
    </row>
    <row r="49" spans="1:37" x14ac:dyDescent="0.25">
      <c r="A49" s="1" t="s">
        <v>81</v>
      </c>
      <c r="B49" s="1" t="s">
        <v>100</v>
      </c>
      <c r="C49" s="1" t="s">
        <v>156</v>
      </c>
      <c r="D49" s="1" t="str">
        <f t="shared" si="2"/>
        <v>AGUACHICAC.E. SANTO DOMINGO</v>
      </c>
      <c r="E49" s="1" t="str">
        <f t="shared" si="0"/>
        <v xml:space="preserve"> </v>
      </c>
      <c r="F49" s="1" t="str">
        <f t="shared" si="1"/>
        <v xml:space="preserve"> </v>
      </c>
      <c r="I49" s="1" t="s">
        <v>1693</v>
      </c>
      <c r="AG49" s="16" t="s">
        <v>1907</v>
      </c>
      <c r="AH49" s="16">
        <v>46</v>
      </c>
      <c r="AJ49" s="31" t="s">
        <v>2512</v>
      </c>
      <c r="AK49" s="31">
        <v>47</v>
      </c>
    </row>
    <row r="50" spans="1:37" x14ac:dyDescent="0.25">
      <c r="A50" s="1" t="s">
        <v>81</v>
      </c>
      <c r="B50" s="1" t="s">
        <v>100</v>
      </c>
      <c r="C50" s="1" t="s">
        <v>157</v>
      </c>
      <c r="D50" s="1" t="str">
        <f t="shared" si="2"/>
        <v>AGUACHICAC.E. SANTO DOMINGO</v>
      </c>
      <c r="E50" s="1" t="str">
        <f t="shared" si="0"/>
        <v xml:space="preserve"> </v>
      </c>
      <c r="F50" s="1" t="str">
        <f t="shared" si="1"/>
        <v xml:space="preserve"> </v>
      </c>
      <c r="I50" s="1" t="s">
        <v>1774</v>
      </c>
      <c r="AG50" s="16" t="s">
        <v>1908</v>
      </c>
      <c r="AH50" s="16">
        <v>47</v>
      </c>
      <c r="AJ50" s="31" t="s">
        <v>2513</v>
      </c>
      <c r="AK50" s="31">
        <v>48</v>
      </c>
    </row>
    <row r="51" spans="1:37" x14ac:dyDescent="0.25">
      <c r="A51" s="1" t="s">
        <v>85</v>
      </c>
      <c r="B51" s="1" t="s">
        <v>101</v>
      </c>
      <c r="C51" s="1" t="s">
        <v>101</v>
      </c>
      <c r="D51" s="1" t="str">
        <f t="shared" si="2"/>
        <v>AGUSTÍN CODAZZIC.E. ALTO SICARARE</v>
      </c>
      <c r="E51" s="1" t="str">
        <f t="shared" si="0"/>
        <v xml:space="preserve"> </v>
      </c>
      <c r="F51" s="1" t="str">
        <f t="shared" si="1"/>
        <v xml:space="preserve"> </v>
      </c>
      <c r="I51" s="1" t="s">
        <v>1775</v>
      </c>
      <c r="AG51" s="16" t="s">
        <v>1909</v>
      </c>
      <c r="AH51" s="16">
        <v>48</v>
      </c>
      <c r="AJ51" s="31" t="s">
        <v>2514</v>
      </c>
      <c r="AK51" s="31">
        <v>49</v>
      </c>
    </row>
    <row r="52" spans="1:37" x14ac:dyDescent="0.25">
      <c r="A52" s="1" t="s">
        <v>85</v>
      </c>
      <c r="B52" s="1" t="s">
        <v>101</v>
      </c>
      <c r="C52" s="1" t="s">
        <v>158</v>
      </c>
      <c r="D52" s="1" t="str">
        <f t="shared" si="2"/>
        <v>AGUSTÍN CODAZZIC.E. ALTO SICARARE</v>
      </c>
      <c r="E52" s="1" t="str">
        <f t="shared" si="0"/>
        <v xml:space="preserve"> </v>
      </c>
      <c r="F52" s="1" t="str">
        <f t="shared" si="1"/>
        <v xml:space="preserve"> </v>
      </c>
      <c r="I52" s="1" t="s">
        <v>840</v>
      </c>
      <c r="AG52" s="16" t="s">
        <v>1910</v>
      </c>
      <c r="AH52" s="16">
        <v>49</v>
      </c>
      <c r="AJ52" s="31" t="s">
        <v>2515</v>
      </c>
      <c r="AK52" s="31">
        <v>50</v>
      </c>
    </row>
    <row r="53" spans="1:37" x14ac:dyDescent="0.25">
      <c r="A53" s="1" t="s">
        <v>85</v>
      </c>
      <c r="B53" s="1" t="s">
        <v>101</v>
      </c>
      <c r="C53" s="1" t="s">
        <v>159</v>
      </c>
      <c r="D53" s="1" t="str">
        <f t="shared" si="2"/>
        <v>AGUSTÍN CODAZZIC.E. ALTO SICARARE</v>
      </c>
      <c r="E53" s="1" t="str">
        <f t="shared" si="0"/>
        <v xml:space="preserve"> </v>
      </c>
      <c r="F53" s="1" t="str">
        <f t="shared" si="1"/>
        <v xml:space="preserve"> </v>
      </c>
      <c r="I53" s="1" t="s">
        <v>1776</v>
      </c>
      <c r="AG53" s="16" t="s">
        <v>1911</v>
      </c>
      <c r="AH53" s="16">
        <v>50</v>
      </c>
      <c r="AJ53" s="31" t="s">
        <v>2516</v>
      </c>
      <c r="AK53" s="31">
        <v>51</v>
      </c>
    </row>
    <row r="54" spans="1:37" x14ac:dyDescent="0.25">
      <c r="A54" s="1" t="s">
        <v>85</v>
      </c>
      <c r="B54" s="1" t="s">
        <v>101</v>
      </c>
      <c r="C54" s="1" t="s">
        <v>160</v>
      </c>
      <c r="D54" s="1" t="str">
        <f t="shared" si="2"/>
        <v>AGUSTÍN CODAZZIC.E. ALTO SICARARE</v>
      </c>
      <c r="E54" s="1" t="str">
        <f t="shared" si="0"/>
        <v xml:space="preserve"> </v>
      </c>
      <c r="F54" s="1" t="str">
        <f t="shared" si="1"/>
        <v xml:space="preserve"> </v>
      </c>
      <c r="I54" s="1" t="s">
        <v>1777</v>
      </c>
      <c r="AG54" s="16" t="s">
        <v>1912</v>
      </c>
      <c r="AH54" s="16">
        <v>51</v>
      </c>
      <c r="AJ54" s="31" t="s">
        <v>2517</v>
      </c>
      <c r="AK54" s="31">
        <v>52</v>
      </c>
    </row>
    <row r="55" spans="1:37" x14ac:dyDescent="0.25">
      <c r="A55" s="1" t="s">
        <v>85</v>
      </c>
      <c r="B55" s="1" t="s">
        <v>101</v>
      </c>
      <c r="C55" s="1" t="s">
        <v>161</v>
      </c>
      <c r="D55" s="1" t="str">
        <f t="shared" si="2"/>
        <v>AGUSTÍN CODAZZIC.E. ALTO SICARARE</v>
      </c>
      <c r="E55" s="1" t="str">
        <f t="shared" si="0"/>
        <v xml:space="preserve"> </v>
      </c>
      <c r="F55" s="1" t="str">
        <f t="shared" si="1"/>
        <v xml:space="preserve"> </v>
      </c>
      <c r="I55" s="1" t="s">
        <v>1778</v>
      </c>
      <c r="AG55" s="16" t="s">
        <v>1913</v>
      </c>
      <c r="AH55" s="16">
        <v>52</v>
      </c>
      <c r="AJ55" s="31" t="s">
        <v>2518</v>
      </c>
      <c r="AK55" s="31">
        <v>53</v>
      </c>
    </row>
    <row r="56" spans="1:37" x14ac:dyDescent="0.25">
      <c r="A56" s="1" t="s">
        <v>85</v>
      </c>
      <c r="B56" s="1" t="s">
        <v>101</v>
      </c>
      <c r="C56" s="1" t="s">
        <v>162</v>
      </c>
      <c r="D56" s="1" t="str">
        <f t="shared" si="2"/>
        <v>AGUSTÍN CODAZZIC.E. ALTO SICARARE</v>
      </c>
      <c r="E56" s="1" t="str">
        <f t="shared" ref="E56:E87" si="3">IF($D$24=D57,C57," ")</f>
        <v xml:space="preserve"> </v>
      </c>
      <c r="F56" s="1" t="str">
        <f t="shared" ref="F56:F87" si="4">TEXT(E56,"#")</f>
        <v xml:space="preserve"> </v>
      </c>
      <c r="I56" s="1" t="s">
        <v>1779</v>
      </c>
      <c r="AG56" s="16" t="s">
        <v>1914</v>
      </c>
      <c r="AH56" s="16">
        <v>53</v>
      </c>
      <c r="AJ56" s="31" t="s">
        <v>2519</v>
      </c>
      <c r="AK56" s="31">
        <v>54</v>
      </c>
    </row>
    <row r="57" spans="1:37" x14ac:dyDescent="0.25">
      <c r="A57" s="1" t="s">
        <v>85</v>
      </c>
      <c r="B57" s="1" t="s">
        <v>101</v>
      </c>
      <c r="C57" s="1" t="s">
        <v>163</v>
      </c>
      <c r="D57" s="1" t="str">
        <f t="shared" ref="D57:D88" si="5">A57&amp;B57</f>
        <v>AGUSTÍN CODAZZIC.E. ALTO SICARARE</v>
      </c>
      <c r="E57" s="1" t="str">
        <f t="shared" si="3"/>
        <v xml:space="preserve"> </v>
      </c>
      <c r="F57" s="1" t="str">
        <f t="shared" si="4"/>
        <v xml:space="preserve"> </v>
      </c>
      <c r="I57" s="1" t="s">
        <v>1780</v>
      </c>
      <c r="AG57" s="16" t="s">
        <v>1066</v>
      </c>
      <c r="AH57" s="16">
        <v>54</v>
      </c>
      <c r="AJ57" s="31" t="s">
        <v>2520</v>
      </c>
      <c r="AK57" s="31">
        <v>55</v>
      </c>
    </row>
    <row r="58" spans="1:37" x14ac:dyDescent="0.25">
      <c r="A58" s="1" t="s">
        <v>85</v>
      </c>
      <c r="B58" s="1" t="s">
        <v>102</v>
      </c>
      <c r="C58" s="1" t="s">
        <v>102</v>
      </c>
      <c r="D58" s="1" t="str">
        <f t="shared" si="5"/>
        <v>AGUSTÍN CODAZZIC.E. SAN JACINTO</v>
      </c>
      <c r="E58" s="1" t="str">
        <f t="shared" si="3"/>
        <v xml:space="preserve"> </v>
      </c>
      <c r="F58" s="1" t="str">
        <f t="shared" si="4"/>
        <v xml:space="preserve"> </v>
      </c>
      <c r="AG58" s="16" t="s">
        <v>1915</v>
      </c>
      <c r="AH58" s="16">
        <v>55</v>
      </c>
      <c r="AJ58" s="31" t="s">
        <v>2521</v>
      </c>
      <c r="AK58" s="31">
        <v>56</v>
      </c>
    </row>
    <row r="59" spans="1:37" x14ac:dyDescent="0.25">
      <c r="A59" s="1" t="s">
        <v>85</v>
      </c>
      <c r="B59" s="1" t="s">
        <v>102</v>
      </c>
      <c r="C59" s="1" t="s">
        <v>164</v>
      </c>
      <c r="D59" s="1" t="str">
        <f t="shared" si="5"/>
        <v>AGUSTÍN CODAZZIC.E. SAN JACINTO</v>
      </c>
      <c r="E59" s="1" t="str">
        <f t="shared" si="3"/>
        <v xml:space="preserve"> </v>
      </c>
      <c r="F59" s="1" t="str">
        <f t="shared" si="4"/>
        <v xml:space="preserve"> </v>
      </c>
      <c r="AG59" s="16" t="s">
        <v>1916</v>
      </c>
      <c r="AH59" s="16">
        <v>56</v>
      </c>
      <c r="AJ59" s="32" t="s">
        <v>2522</v>
      </c>
      <c r="AK59" s="31">
        <v>57</v>
      </c>
    </row>
    <row r="60" spans="1:37" x14ac:dyDescent="0.25">
      <c r="A60" s="1" t="s">
        <v>85</v>
      </c>
      <c r="B60" s="1" t="s">
        <v>102</v>
      </c>
      <c r="C60" s="1" t="s">
        <v>165</v>
      </c>
      <c r="D60" s="1" t="str">
        <f t="shared" si="5"/>
        <v>AGUSTÍN CODAZZIC.E. SAN JACINTO</v>
      </c>
      <c r="E60" s="1" t="str">
        <f t="shared" si="3"/>
        <v xml:space="preserve"> </v>
      </c>
      <c r="F60" s="1" t="str">
        <f t="shared" si="4"/>
        <v xml:space="preserve"> </v>
      </c>
      <c r="AG60" s="16" t="s">
        <v>1917</v>
      </c>
      <c r="AH60" s="16">
        <v>57</v>
      </c>
      <c r="AJ60" s="31" t="s">
        <v>2523</v>
      </c>
      <c r="AK60" s="31">
        <v>58</v>
      </c>
    </row>
    <row r="61" spans="1:37" x14ac:dyDescent="0.25">
      <c r="A61" s="1" t="s">
        <v>85</v>
      </c>
      <c r="B61" s="1" t="s">
        <v>102</v>
      </c>
      <c r="C61" s="1" t="s">
        <v>166</v>
      </c>
      <c r="D61" s="1" t="str">
        <f t="shared" si="5"/>
        <v>AGUSTÍN CODAZZIC.E. SAN JACINTO</v>
      </c>
      <c r="E61" s="1" t="str">
        <f t="shared" si="3"/>
        <v xml:space="preserve"> </v>
      </c>
      <c r="F61" s="1" t="str">
        <f t="shared" si="4"/>
        <v xml:space="preserve"> </v>
      </c>
      <c r="AG61" s="16" t="s">
        <v>1918</v>
      </c>
      <c r="AH61" s="16">
        <v>58</v>
      </c>
      <c r="AJ61" s="31" t="s">
        <v>2524</v>
      </c>
      <c r="AK61" s="31">
        <v>59</v>
      </c>
    </row>
    <row r="62" spans="1:37" x14ac:dyDescent="0.25">
      <c r="A62" s="1" t="s">
        <v>85</v>
      </c>
      <c r="B62" s="1" t="s">
        <v>102</v>
      </c>
      <c r="C62" s="1" t="s">
        <v>167</v>
      </c>
      <c r="D62" s="1" t="str">
        <f t="shared" si="5"/>
        <v>AGUSTÍN CODAZZIC.E. SAN JACINTO</v>
      </c>
      <c r="E62" s="1" t="str">
        <f t="shared" si="3"/>
        <v xml:space="preserve"> </v>
      </c>
      <c r="F62" s="1" t="str">
        <f t="shared" si="4"/>
        <v xml:space="preserve"> </v>
      </c>
      <c r="AG62" s="16" t="s">
        <v>1919</v>
      </c>
      <c r="AH62" s="16">
        <v>59</v>
      </c>
      <c r="AJ62" s="31" t="s">
        <v>2525</v>
      </c>
      <c r="AK62" s="31">
        <v>60</v>
      </c>
    </row>
    <row r="63" spans="1:37" x14ac:dyDescent="0.25">
      <c r="A63" s="1" t="s">
        <v>85</v>
      </c>
      <c r="B63" s="1" t="s">
        <v>102</v>
      </c>
      <c r="C63" s="1" t="s">
        <v>168</v>
      </c>
      <c r="D63" s="1" t="str">
        <f t="shared" si="5"/>
        <v>AGUSTÍN CODAZZIC.E. SAN JACINTO</v>
      </c>
      <c r="E63" s="1" t="str">
        <f t="shared" si="3"/>
        <v xml:space="preserve"> </v>
      </c>
      <c r="F63" s="1" t="str">
        <f t="shared" si="4"/>
        <v xml:space="preserve"> </v>
      </c>
      <c r="AG63" s="16" t="s">
        <v>951</v>
      </c>
      <c r="AH63" s="16">
        <v>60</v>
      </c>
      <c r="AJ63" s="31" t="s">
        <v>2526</v>
      </c>
      <c r="AK63" s="31">
        <v>61</v>
      </c>
    </row>
    <row r="64" spans="1:37" x14ac:dyDescent="0.25">
      <c r="A64" s="1" t="s">
        <v>85</v>
      </c>
      <c r="B64" s="1" t="s">
        <v>102</v>
      </c>
      <c r="C64" s="1" t="s">
        <v>169</v>
      </c>
      <c r="D64" s="1" t="str">
        <f t="shared" si="5"/>
        <v>AGUSTÍN CODAZZIC.E. SAN JACINTO</v>
      </c>
      <c r="E64" s="1" t="str">
        <f t="shared" si="3"/>
        <v xml:space="preserve"> </v>
      </c>
      <c r="F64" s="1" t="str">
        <f t="shared" si="4"/>
        <v xml:space="preserve"> </v>
      </c>
      <c r="AG64" s="16" t="s">
        <v>1920</v>
      </c>
      <c r="AH64" s="16">
        <v>61</v>
      </c>
      <c r="AJ64" s="31" t="s">
        <v>2527</v>
      </c>
      <c r="AK64" s="31">
        <v>62</v>
      </c>
    </row>
    <row r="65" spans="1:37" x14ac:dyDescent="0.25">
      <c r="A65" s="1" t="s">
        <v>85</v>
      </c>
      <c r="B65" s="1" t="s">
        <v>102</v>
      </c>
      <c r="C65" s="1" t="s">
        <v>170</v>
      </c>
      <c r="D65" s="1" t="str">
        <f t="shared" si="5"/>
        <v>AGUSTÍN CODAZZIC.E. SAN JACINTO</v>
      </c>
      <c r="E65" s="1" t="str">
        <f t="shared" si="3"/>
        <v xml:space="preserve"> </v>
      </c>
      <c r="F65" s="1" t="str">
        <f t="shared" si="4"/>
        <v xml:space="preserve"> </v>
      </c>
      <c r="AG65" s="16" t="s">
        <v>1921</v>
      </c>
      <c r="AH65" s="16">
        <v>62</v>
      </c>
      <c r="AJ65" s="31" t="s">
        <v>2528</v>
      </c>
      <c r="AK65" s="31">
        <v>63</v>
      </c>
    </row>
    <row r="66" spans="1:37" x14ac:dyDescent="0.25">
      <c r="A66" s="1" t="s">
        <v>85</v>
      </c>
      <c r="B66" s="1" t="s">
        <v>102</v>
      </c>
      <c r="C66" s="1" t="s">
        <v>171</v>
      </c>
      <c r="D66" s="1" t="str">
        <f t="shared" si="5"/>
        <v>AGUSTÍN CODAZZIC.E. SAN JACINTO</v>
      </c>
      <c r="E66" s="1" t="str">
        <f t="shared" si="3"/>
        <v xml:space="preserve"> </v>
      </c>
      <c r="F66" s="1" t="str">
        <f t="shared" si="4"/>
        <v xml:space="preserve"> </v>
      </c>
      <c r="AG66" s="16" t="s">
        <v>1922</v>
      </c>
      <c r="AH66" s="16">
        <v>63</v>
      </c>
      <c r="AJ66" s="31" t="s">
        <v>2529</v>
      </c>
      <c r="AK66" s="31">
        <v>64</v>
      </c>
    </row>
    <row r="67" spans="1:37" x14ac:dyDescent="0.25">
      <c r="A67" s="1" t="s">
        <v>85</v>
      </c>
      <c r="B67" s="1" t="s">
        <v>102</v>
      </c>
      <c r="C67" s="1" t="s">
        <v>172</v>
      </c>
      <c r="D67" s="1" t="str">
        <f t="shared" si="5"/>
        <v>AGUSTÍN CODAZZIC.E. SAN JACINTO</v>
      </c>
      <c r="E67" s="1" t="str">
        <f t="shared" si="3"/>
        <v xml:space="preserve"> </v>
      </c>
      <c r="F67" s="1" t="str">
        <f t="shared" si="4"/>
        <v xml:space="preserve"> </v>
      </c>
      <c r="AG67" s="16" t="s">
        <v>1923</v>
      </c>
      <c r="AH67" s="16">
        <v>64</v>
      </c>
      <c r="AJ67" s="31" t="s">
        <v>2530</v>
      </c>
      <c r="AK67" s="31">
        <v>65</v>
      </c>
    </row>
    <row r="68" spans="1:37" x14ac:dyDescent="0.25">
      <c r="A68" s="1" t="s">
        <v>85</v>
      </c>
      <c r="B68" s="1" t="s">
        <v>102</v>
      </c>
      <c r="C68" s="1" t="s">
        <v>173</v>
      </c>
      <c r="D68" s="1" t="str">
        <f t="shared" si="5"/>
        <v>AGUSTÍN CODAZZIC.E. SAN JACINTO</v>
      </c>
      <c r="E68" s="1" t="str">
        <f t="shared" si="3"/>
        <v xml:space="preserve"> </v>
      </c>
      <c r="F68" s="1" t="str">
        <f t="shared" si="4"/>
        <v xml:space="preserve"> </v>
      </c>
      <c r="AG68" s="16" t="s">
        <v>1924</v>
      </c>
      <c r="AH68" s="16">
        <v>65</v>
      </c>
      <c r="AJ68" s="31" t="s">
        <v>2531</v>
      </c>
      <c r="AK68" s="31">
        <v>66</v>
      </c>
    </row>
    <row r="69" spans="1:37" x14ac:dyDescent="0.25">
      <c r="A69" s="1" t="s">
        <v>85</v>
      </c>
      <c r="B69" s="1" t="s">
        <v>102</v>
      </c>
      <c r="C69" s="1" t="s">
        <v>174</v>
      </c>
      <c r="D69" s="1" t="str">
        <f t="shared" si="5"/>
        <v>AGUSTÍN CODAZZIC.E. SAN JACINTO</v>
      </c>
      <c r="E69" s="1" t="str">
        <f t="shared" si="3"/>
        <v xml:space="preserve"> </v>
      </c>
      <c r="F69" s="1" t="str">
        <f t="shared" si="4"/>
        <v xml:space="preserve"> </v>
      </c>
      <c r="AG69" s="16" t="s">
        <v>1925</v>
      </c>
      <c r="AH69" s="16">
        <v>66</v>
      </c>
      <c r="AJ69" s="31" t="s">
        <v>2532</v>
      </c>
      <c r="AK69" s="31">
        <v>67</v>
      </c>
    </row>
    <row r="70" spans="1:37" x14ac:dyDescent="0.25">
      <c r="A70" s="1" t="s">
        <v>85</v>
      </c>
      <c r="B70" s="1" t="s">
        <v>102</v>
      </c>
      <c r="C70" s="1" t="s">
        <v>175</v>
      </c>
      <c r="D70" s="1" t="str">
        <f t="shared" si="5"/>
        <v>AGUSTÍN CODAZZIC.E. SAN JACINTO</v>
      </c>
      <c r="E70" s="1" t="str">
        <f t="shared" si="3"/>
        <v xml:space="preserve"> </v>
      </c>
      <c r="F70" s="1" t="str">
        <f t="shared" si="4"/>
        <v xml:space="preserve"> </v>
      </c>
      <c r="AG70" s="16" t="s">
        <v>1926</v>
      </c>
      <c r="AH70" s="16">
        <v>67</v>
      </c>
      <c r="AJ70" s="31" t="s">
        <v>2533</v>
      </c>
      <c r="AK70" s="31">
        <v>68</v>
      </c>
    </row>
    <row r="71" spans="1:37" x14ac:dyDescent="0.25">
      <c r="A71" s="1" t="s">
        <v>85</v>
      </c>
      <c r="B71" s="1" t="s">
        <v>102</v>
      </c>
      <c r="C71" s="1" t="s">
        <v>157</v>
      </c>
      <c r="D71" s="1" t="str">
        <f t="shared" si="5"/>
        <v>AGUSTÍN CODAZZIC.E. SAN JACINTO</v>
      </c>
      <c r="E71" s="1" t="str">
        <f t="shared" si="3"/>
        <v xml:space="preserve"> </v>
      </c>
      <c r="F71" s="1" t="str">
        <f t="shared" si="4"/>
        <v xml:space="preserve"> </v>
      </c>
      <c r="AG71" s="16" t="s">
        <v>1927</v>
      </c>
      <c r="AH71" s="16">
        <v>68</v>
      </c>
      <c r="AJ71" s="31" t="s">
        <v>2534</v>
      </c>
      <c r="AK71" s="31">
        <v>69</v>
      </c>
    </row>
    <row r="72" spans="1:37" x14ac:dyDescent="0.25">
      <c r="A72" s="1" t="s">
        <v>85</v>
      </c>
      <c r="B72" s="1" t="s">
        <v>102</v>
      </c>
      <c r="C72" s="1" t="s">
        <v>176</v>
      </c>
      <c r="D72" s="1" t="str">
        <f t="shared" si="5"/>
        <v>AGUSTÍN CODAZZIC.E. SAN JACINTO</v>
      </c>
      <c r="E72" s="1" t="str">
        <f t="shared" si="3"/>
        <v xml:space="preserve"> </v>
      </c>
      <c r="F72" s="1" t="str">
        <f t="shared" si="4"/>
        <v xml:space="preserve"> </v>
      </c>
      <c r="AG72" s="16" t="s">
        <v>1498</v>
      </c>
      <c r="AH72" s="16">
        <v>69</v>
      </c>
      <c r="AJ72" s="31" t="s">
        <v>2535</v>
      </c>
      <c r="AK72" s="31">
        <v>70</v>
      </c>
    </row>
    <row r="73" spans="1:37" x14ac:dyDescent="0.25">
      <c r="A73" s="1" t="s">
        <v>86</v>
      </c>
      <c r="B73" s="1" t="s">
        <v>103</v>
      </c>
      <c r="C73" s="1" t="s">
        <v>108</v>
      </c>
      <c r="D73" s="1" t="str">
        <f t="shared" si="5"/>
        <v>ASTREAC.E. SAN PEDRO - ASTREA</v>
      </c>
      <c r="E73" s="1" t="str">
        <f t="shared" si="3"/>
        <v xml:space="preserve"> </v>
      </c>
      <c r="F73" s="1" t="str">
        <f t="shared" si="4"/>
        <v xml:space="preserve"> </v>
      </c>
      <c r="AG73" s="16" t="s">
        <v>1928</v>
      </c>
      <c r="AH73" s="16">
        <v>70</v>
      </c>
      <c r="AJ73" s="31" t="s">
        <v>2536</v>
      </c>
      <c r="AK73" s="31">
        <v>71</v>
      </c>
    </row>
    <row r="74" spans="1:37" x14ac:dyDescent="0.25">
      <c r="A74" s="1" t="s">
        <v>86</v>
      </c>
      <c r="B74" s="1" t="s">
        <v>103</v>
      </c>
      <c r="C74" s="1" t="s">
        <v>177</v>
      </c>
      <c r="D74" s="1" t="str">
        <f t="shared" si="5"/>
        <v>ASTREAC.E. SAN PEDRO - ASTREA</v>
      </c>
      <c r="E74" s="1" t="str">
        <f t="shared" si="3"/>
        <v xml:space="preserve"> </v>
      </c>
      <c r="F74" s="1" t="str">
        <f t="shared" si="4"/>
        <v xml:space="preserve"> </v>
      </c>
      <c r="AG74" s="16" t="s">
        <v>1929</v>
      </c>
      <c r="AH74" s="16">
        <v>71</v>
      </c>
      <c r="AJ74" s="31" t="s">
        <v>2537</v>
      </c>
      <c r="AK74" s="31">
        <v>72</v>
      </c>
    </row>
    <row r="75" spans="1:37" x14ac:dyDescent="0.25">
      <c r="A75" s="1" t="s">
        <v>86</v>
      </c>
      <c r="B75" s="1" t="s">
        <v>103</v>
      </c>
      <c r="C75" s="1" t="s">
        <v>178</v>
      </c>
      <c r="D75" s="1" t="str">
        <f t="shared" si="5"/>
        <v>ASTREAC.E. SAN PEDRO - ASTREA</v>
      </c>
      <c r="E75" s="1" t="str">
        <f t="shared" si="3"/>
        <v xml:space="preserve"> </v>
      </c>
      <c r="F75" s="1" t="str">
        <f t="shared" si="4"/>
        <v xml:space="preserve"> </v>
      </c>
      <c r="AG75" s="16" t="s">
        <v>1930</v>
      </c>
      <c r="AH75" s="16">
        <v>72</v>
      </c>
      <c r="AJ75" s="31" t="s">
        <v>2538</v>
      </c>
      <c r="AK75" s="31">
        <v>73</v>
      </c>
    </row>
    <row r="76" spans="1:37" x14ac:dyDescent="0.25">
      <c r="A76" s="1" t="s">
        <v>86</v>
      </c>
      <c r="B76" s="1" t="s">
        <v>103</v>
      </c>
      <c r="C76" s="1" t="s">
        <v>179</v>
      </c>
      <c r="D76" s="1" t="str">
        <f t="shared" si="5"/>
        <v>ASTREAC.E. SAN PEDRO - ASTREA</v>
      </c>
      <c r="E76" s="1" t="str">
        <f t="shared" si="3"/>
        <v xml:space="preserve"> </v>
      </c>
      <c r="F76" s="1" t="str">
        <f t="shared" si="4"/>
        <v xml:space="preserve"> </v>
      </c>
      <c r="AG76" s="16" t="s">
        <v>1931</v>
      </c>
      <c r="AH76" s="16">
        <v>73</v>
      </c>
      <c r="AJ76" s="31" t="s">
        <v>2539</v>
      </c>
      <c r="AK76" s="31">
        <v>74</v>
      </c>
    </row>
    <row r="77" spans="1:37" x14ac:dyDescent="0.25">
      <c r="A77" s="1" t="s">
        <v>87</v>
      </c>
      <c r="B77" s="1" t="s">
        <v>104</v>
      </c>
      <c r="C77" s="1" t="s">
        <v>180</v>
      </c>
      <c r="D77" s="1" t="str">
        <f t="shared" si="5"/>
        <v>BOSCONIAC.E. LA ESMERALDA</v>
      </c>
      <c r="E77" s="1" t="str">
        <f t="shared" si="3"/>
        <v xml:space="preserve"> </v>
      </c>
      <c r="F77" s="1" t="str">
        <f t="shared" si="4"/>
        <v xml:space="preserve"> </v>
      </c>
      <c r="AG77" s="16" t="s">
        <v>1932</v>
      </c>
      <c r="AH77" s="16">
        <v>74</v>
      </c>
      <c r="AJ77" s="31" t="s">
        <v>2540</v>
      </c>
      <c r="AK77" s="31">
        <v>75</v>
      </c>
    </row>
    <row r="78" spans="1:37" x14ac:dyDescent="0.25">
      <c r="A78" s="1" t="s">
        <v>87</v>
      </c>
      <c r="B78" s="1" t="s">
        <v>104</v>
      </c>
      <c r="C78" s="1" t="s">
        <v>181</v>
      </c>
      <c r="D78" s="1" t="str">
        <f t="shared" si="5"/>
        <v>BOSCONIAC.E. LA ESMERALDA</v>
      </c>
      <c r="E78" s="1" t="str">
        <f t="shared" si="3"/>
        <v xml:space="preserve"> </v>
      </c>
      <c r="F78" s="1" t="str">
        <f t="shared" si="4"/>
        <v xml:space="preserve"> </v>
      </c>
      <c r="AG78" s="16" t="s">
        <v>1933</v>
      </c>
      <c r="AH78" s="16">
        <v>75</v>
      </c>
      <c r="AJ78" s="31" t="s">
        <v>2541</v>
      </c>
      <c r="AK78" s="31">
        <v>76</v>
      </c>
    </row>
    <row r="79" spans="1:37" x14ac:dyDescent="0.25">
      <c r="A79" s="1" t="s">
        <v>87</v>
      </c>
      <c r="B79" s="1" t="s">
        <v>104</v>
      </c>
      <c r="C79" s="1" t="s">
        <v>184</v>
      </c>
      <c r="D79" s="1" t="str">
        <f t="shared" si="5"/>
        <v>BOSCONIAC.E. LA ESMERALDA</v>
      </c>
      <c r="E79" s="1" t="str">
        <f t="shared" si="3"/>
        <v xml:space="preserve"> </v>
      </c>
      <c r="F79" s="1" t="str">
        <f t="shared" si="4"/>
        <v xml:space="preserve"> </v>
      </c>
      <c r="AG79" s="16" t="s">
        <v>1935</v>
      </c>
      <c r="AH79" s="16">
        <v>76</v>
      </c>
      <c r="AJ79" s="31" t="s">
        <v>2542</v>
      </c>
      <c r="AK79" s="31">
        <v>77</v>
      </c>
    </row>
    <row r="80" spans="1:37" x14ac:dyDescent="0.25">
      <c r="A80" s="1" t="s">
        <v>88</v>
      </c>
      <c r="B80" s="1" t="s">
        <v>106</v>
      </c>
      <c r="C80" s="1" t="s">
        <v>198</v>
      </c>
      <c r="D80" s="1" t="str">
        <f t="shared" si="5"/>
        <v>CHIMICHAGUAC.E. SANTA LUCIA</v>
      </c>
      <c r="E80" s="1" t="str">
        <f t="shared" si="3"/>
        <v xml:space="preserve"> </v>
      </c>
      <c r="F80" s="1" t="str">
        <f t="shared" si="4"/>
        <v xml:space="preserve"> </v>
      </c>
      <c r="AG80" s="16" t="s">
        <v>1950</v>
      </c>
      <c r="AH80" s="16">
        <v>79</v>
      </c>
      <c r="AJ80" s="31" t="s">
        <v>2545</v>
      </c>
      <c r="AK80" s="31">
        <v>80</v>
      </c>
    </row>
    <row r="81" spans="1:37" x14ac:dyDescent="0.25">
      <c r="A81" s="1" t="s">
        <v>87</v>
      </c>
      <c r="B81" s="1" t="s">
        <v>104</v>
      </c>
      <c r="C81" s="1" t="s">
        <v>182</v>
      </c>
      <c r="D81" s="1" t="str">
        <f t="shared" si="5"/>
        <v>BOSCONIAC.E. LA ESMERALDA</v>
      </c>
      <c r="E81" s="1" t="str">
        <f t="shared" si="3"/>
        <v xml:space="preserve"> </v>
      </c>
      <c r="F81" s="1" t="str">
        <f t="shared" si="4"/>
        <v xml:space="preserve"> </v>
      </c>
      <c r="AG81" s="16" t="s">
        <v>1934</v>
      </c>
      <c r="AH81" s="16">
        <v>94</v>
      </c>
      <c r="AJ81" s="31" t="s">
        <v>2543</v>
      </c>
      <c r="AK81" s="31">
        <v>78</v>
      </c>
    </row>
    <row r="82" spans="1:37" x14ac:dyDescent="0.25">
      <c r="A82" s="1" t="s">
        <v>87</v>
      </c>
      <c r="B82" s="1" t="s">
        <v>104</v>
      </c>
      <c r="C82" s="1" t="s">
        <v>183</v>
      </c>
      <c r="D82" s="1" t="str">
        <f t="shared" si="5"/>
        <v>BOSCONIAC.E. LA ESMERALDA</v>
      </c>
      <c r="E82" s="1" t="str">
        <f t="shared" si="3"/>
        <v xml:space="preserve"> </v>
      </c>
      <c r="F82" s="1" t="str">
        <f t="shared" si="4"/>
        <v xml:space="preserve"> </v>
      </c>
      <c r="AG82" s="16" t="s">
        <v>1934</v>
      </c>
      <c r="AH82" s="16">
        <v>77</v>
      </c>
      <c r="AJ82" s="31" t="s">
        <v>2544</v>
      </c>
      <c r="AK82" s="31">
        <v>79</v>
      </c>
    </row>
    <row r="83" spans="1:37" x14ac:dyDescent="0.25">
      <c r="A83" s="1" t="s">
        <v>87</v>
      </c>
      <c r="B83" s="1" t="s">
        <v>104</v>
      </c>
      <c r="C83" s="1" t="s">
        <v>185</v>
      </c>
      <c r="D83" s="1" t="str">
        <f t="shared" si="5"/>
        <v>BOSCONIAC.E. LA ESMERALDA</v>
      </c>
      <c r="E83" s="1" t="str">
        <f t="shared" si="3"/>
        <v xml:space="preserve"> </v>
      </c>
      <c r="F83" s="1" t="str">
        <f t="shared" si="4"/>
        <v xml:space="preserve"> </v>
      </c>
      <c r="AG83" s="16" t="s">
        <v>1936</v>
      </c>
      <c r="AH83" s="16">
        <v>78</v>
      </c>
      <c r="AJ83" s="32" t="s">
        <v>2546</v>
      </c>
      <c r="AK83" s="31">
        <v>81</v>
      </c>
    </row>
    <row r="84" spans="1:37" x14ac:dyDescent="0.25">
      <c r="A84" s="1" t="s">
        <v>87</v>
      </c>
      <c r="B84" s="1" t="s">
        <v>104</v>
      </c>
      <c r="C84" s="1" t="s">
        <v>186</v>
      </c>
      <c r="D84" s="1" t="str">
        <f t="shared" si="5"/>
        <v>BOSCONIAC.E. LA ESMERALDA</v>
      </c>
      <c r="E84" s="1" t="str">
        <f t="shared" si="3"/>
        <v xml:space="preserve"> </v>
      </c>
      <c r="F84" s="1" t="str">
        <f t="shared" si="4"/>
        <v xml:space="preserve"> </v>
      </c>
      <c r="AG84" s="16" t="s">
        <v>1937</v>
      </c>
      <c r="AH84" s="16">
        <v>80</v>
      </c>
      <c r="AJ84" s="31" t="s">
        <v>2547</v>
      </c>
      <c r="AK84" s="31">
        <v>82</v>
      </c>
    </row>
    <row r="85" spans="1:37" x14ac:dyDescent="0.25">
      <c r="A85" s="1" t="s">
        <v>87</v>
      </c>
      <c r="B85" s="1" t="s">
        <v>104</v>
      </c>
      <c r="C85" s="1" t="s">
        <v>187</v>
      </c>
      <c r="D85" s="1" t="str">
        <f t="shared" si="5"/>
        <v>BOSCONIAC.E. LA ESMERALDA</v>
      </c>
      <c r="E85" s="1" t="str">
        <f t="shared" si="3"/>
        <v xml:space="preserve"> </v>
      </c>
      <c r="F85" s="1" t="str">
        <f t="shared" si="4"/>
        <v xml:space="preserve"> </v>
      </c>
      <c r="AG85" s="16" t="s">
        <v>1938</v>
      </c>
      <c r="AH85" s="16">
        <v>81</v>
      </c>
      <c r="AJ85" s="31" t="s">
        <v>2548</v>
      </c>
      <c r="AK85" s="31">
        <v>83</v>
      </c>
    </row>
    <row r="86" spans="1:37" x14ac:dyDescent="0.25">
      <c r="A86" s="1" t="s">
        <v>87</v>
      </c>
      <c r="B86" s="1" t="s">
        <v>104</v>
      </c>
      <c r="C86" s="1" t="s">
        <v>188</v>
      </c>
      <c r="D86" s="1" t="str">
        <f t="shared" si="5"/>
        <v>BOSCONIAC.E. LA ESMERALDA</v>
      </c>
      <c r="E86" s="1" t="str">
        <f t="shared" si="3"/>
        <v xml:space="preserve"> </v>
      </c>
      <c r="F86" s="1" t="str">
        <f t="shared" si="4"/>
        <v xml:space="preserve"> </v>
      </c>
      <c r="AG86" s="16" t="s">
        <v>1939</v>
      </c>
      <c r="AH86" s="16">
        <v>82</v>
      </c>
      <c r="AJ86" s="31" t="s">
        <v>2549</v>
      </c>
      <c r="AK86" s="31">
        <v>84</v>
      </c>
    </row>
    <row r="87" spans="1:37" x14ac:dyDescent="0.25">
      <c r="A87" s="1" t="s">
        <v>88</v>
      </c>
      <c r="B87" s="1" t="s">
        <v>105</v>
      </c>
      <c r="C87" s="1" t="s">
        <v>189</v>
      </c>
      <c r="D87" s="1" t="str">
        <f t="shared" si="5"/>
        <v>CHIMICHAGUAC.E PIEDRAS BLANCAS</v>
      </c>
      <c r="E87" s="1" t="str">
        <f t="shared" si="3"/>
        <v xml:space="preserve"> </v>
      </c>
      <c r="F87" s="1" t="str">
        <f t="shared" si="4"/>
        <v xml:space="preserve"> </v>
      </c>
      <c r="AG87" s="16" t="s">
        <v>1940</v>
      </c>
      <c r="AH87" s="16">
        <v>83</v>
      </c>
      <c r="AJ87" s="31" t="s">
        <v>2550</v>
      </c>
      <c r="AK87" s="31">
        <v>200</v>
      </c>
    </row>
    <row r="88" spans="1:37" x14ac:dyDescent="0.25">
      <c r="A88" s="1" t="s">
        <v>88</v>
      </c>
      <c r="B88" s="1" t="s">
        <v>105</v>
      </c>
      <c r="C88" s="1" t="s">
        <v>190</v>
      </c>
      <c r="D88" s="1" t="str">
        <f t="shared" si="5"/>
        <v>CHIMICHAGUAC.E PIEDRAS BLANCAS</v>
      </c>
      <c r="E88" s="1" t="str">
        <f t="shared" ref="E88:E119" si="6">IF($D$24=D89,C89," ")</f>
        <v xml:space="preserve"> </v>
      </c>
      <c r="F88" s="1" t="str">
        <f t="shared" ref="F88:F119" si="7">TEXT(E88,"#")</f>
        <v xml:space="preserve"> </v>
      </c>
      <c r="AG88" s="16" t="s">
        <v>1941</v>
      </c>
      <c r="AH88" s="16">
        <v>84</v>
      </c>
      <c r="AJ88" s="31" t="s">
        <v>2551</v>
      </c>
      <c r="AK88" s="31">
        <v>400</v>
      </c>
    </row>
    <row r="89" spans="1:37" x14ac:dyDescent="0.25">
      <c r="A89" s="1" t="s">
        <v>88</v>
      </c>
      <c r="B89" s="1" t="s">
        <v>105</v>
      </c>
      <c r="C89" s="1" t="s">
        <v>191</v>
      </c>
      <c r="D89" s="1" t="str">
        <f t="shared" ref="D89:D120" si="8">A89&amp;B89</f>
        <v>CHIMICHAGUAC.E PIEDRAS BLANCAS</v>
      </c>
      <c r="E89" s="1" t="str">
        <f t="shared" si="6"/>
        <v xml:space="preserve"> </v>
      </c>
      <c r="F89" s="1" t="str">
        <f t="shared" si="7"/>
        <v xml:space="preserve"> </v>
      </c>
      <c r="AG89" s="16" t="s">
        <v>1942</v>
      </c>
      <c r="AH89" s="16">
        <v>85</v>
      </c>
      <c r="AJ89" s="16"/>
      <c r="AK89" s="16"/>
    </row>
    <row r="90" spans="1:37" x14ac:dyDescent="0.25">
      <c r="A90" s="1" t="s">
        <v>88</v>
      </c>
      <c r="B90" s="1" t="s">
        <v>105</v>
      </c>
      <c r="C90" s="1" t="s">
        <v>192</v>
      </c>
      <c r="D90" s="1" t="str">
        <f t="shared" si="8"/>
        <v>CHIMICHAGUAC.E PIEDRAS BLANCAS</v>
      </c>
      <c r="E90" s="1" t="str">
        <f t="shared" si="6"/>
        <v xml:space="preserve"> </v>
      </c>
      <c r="F90" s="1" t="str">
        <f t="shared" si="7"/>
        <v xml:space="preserve"> </v>
      </c>
      <c r="AG90" s="16" t="s">
        <v>1943</v>
      </c>
      <c r="AH90" s="16">
        <v>86</v>
      </c>
      <c r="AJ90" s="16"/>
      <c r="AK90" s="16"/>
    </row>
    <row r="91" spans="1:37" x14ac:dyDescent="0.25">
      <c r="A91" s="1" t="s">
        <v>88</v>
      </c>
      <c r="B91" s="1" t="s">
        <v>105</v>
      </c>
      <c r="C91" s="1" t="s">
        <v>193</v>
      </c>
      <c r="D91" s="1" t="str">
        <f t="shared" si="8"/>
        <v>CHIMICHAGUAC.E PIEDRAS BLANCAS</v>
      </c>
      <c r="E91" s="1" t="str">
        <f t="shared" si="6"/>
        <v xml:space="preserve"> </v>
      </c>
      <c r="F91" s="1" t="str">
        <f t="shared" si="7"/>
        <v xml:space="preserve"> </v>
      </c>
      <c r="AG91" s="16" t="s">
        <v>1944</v>
      </c>
      <c r="AH91" s="16">
        <v>87</v>
      </c>
      <c r="AJ91" s="16"/>
      <c r="AK91" s="16"/>
    </row>
    <row r="92" spans="1:37" x14ac:dyDescent="0.25">
      <c r="A92" s="1" t="s">
        <v>88</v>
      </c>
      <c r="B92" s="1" t="s">
        <v>106</v>
      </c>
      <c r="C92" s="1" t="s">
        <v>106</v>
      </c>
      <c r="D92" s="1" t="str">
        <f t="shared" si="8"/>
        <v>CHIMICHAGUAC.E. SANTA LUCIA</v>
      </c>
      <c r="E92" s="1" t="str">
        <f t="shared" si="6"/>
        <v xml:space="preserve"> </v>
      </c>
      <c r="F92" s="1" t="str">
        <f t="shared" si="7"/>
        <v xml:space="preserve"> </v>
      </c>
      <c r="AG92" s="16" t="s">
        <v>1945</v>
      </c>
      <c r="AH92" s="16">
        <v>88</v>
      </c>
      <c r="AJ92" s="16"/>
      <c r="AK92" s="16"/>
    </row>
    <row r="93" spans="1:37" x14ac:dyDescent="0.25">
      <c r="A93" s="1" t="s">
        <v>88</v>
      </c>
      <c r="B93" s="1" t="s">
        <v>106</v>
      </c>
      <c r="C93" s="1" t="s">
        <v>194</v>
      </c>
      <c r="D93" s="1" t="str">
        <f t="shared" si="8"/>
        <v>CHIMICHAGUAC.E. SANTA LUCIA</v>
      </c>
      <c r="E93" s="1" t="str">
        <f t="shared" si="6"/>
        <v xml:space="preserve"> </v>
      </c>
      <c r="F93" s="1" t="str">
        <f t="shared" si="7"/>
        <v xml:space="preserve"> </v>
      </c>
      <c r="AG93" s="16" t="s">
        <v>1946</v>
      </c>
      <c r="AH93" s="16">
        <v>89</v>
      </c>
      <c r="AJ93" s="16"/>
      <c r="AK93" s="16"/>
    </row>
    <row r="94" spans="1:37" x14ac:dyDescent="0.25">
      <c r="A94" s="1" t="s">
        <v>88</v>
      </c>
      <c r="B94" s="1" t="s">
        <v>106</v>
      </c>
      <c r="C94" s="1" t="s">
        <v>195</v>
      </c>
      <c r="D94" s="1" t="str">
        <f t="shared" si="8"/>
        <v>CHIMICHAGUAC.E. SANTA LUCIA</v>
      </c>
      <c r="E94" s="1" t="str">
        <f t="shared" si="6"/>
        <v xml:space="preserve"> </v>
      </c>
      <c r="F94" s="1" t="str">
        <f t="shared" si="7"/>
        <v xml:space="preserve"> </v>
      </c>
      <c r="AG94" s="16" t="s">
        <v>1947</v>
      </c>
      <c r="AH94" s="16">
        <v>90</v>
      </c>
      <c r="AJ94" s="16"/>
      <c r="AK94" s="16"/>
    </row>
    <row r="95" spans="1:37" x14ac:dyDescent="0.25">
      <c r="A95" s="1" t="s">
        <v>88</v>
      </c>
      <c r="B95" s="1" t="s">
        <v>106</v>
      </c>
      <c r="C95" s="1" t="s">
        <v>196</v>
      </c>
      <c r="D95" s="1" t="str">
        <f t="shared" si="8"/>
        <v>CHIMICHAGUAC.E. SANTA LUCIA</v>
      </c>
      <c r="E95" s="1" t="str">
        <f t="shared" si="6"/>
        <v xml:space="preserve"> </v>
      </c>
      <c r="F95" s="1" t="str">
        <f t="shared" si="7"/>
        <v xml:space="preserve"> </v>
      </c>
      <c r="AG95" s="16" t="s">
        <v>1948</v>
      </c>
      <c r="AH95" s="16">
        <v>91</v>
      </c>
      <c r="AJ95" s="16"/>
      <c r="AK95" s="16"/>
    </row>
    <row r="96" spans="1:37" x14ac:dyDescent="0.25">
      <c r="A96" s="1" t="s">
        <v>88</v>
      </c>
      <c r="B96" s="1" t="s">
        <v>106</v>
      </c>
      <c r="C96" s="1" t="s">
        <v>197</v>
      </c>
      <c r="D96" s="1" t="str">
        <f t="shared" si="8"/>
        <v>CHIMICHAGUAC.E. SANTA LUCIA</v>
      </c>
      <c r="E96" s="1" t="str">
        <f t="shared" si="6"/>
        <v xml:space="preserve"> </v>
      </c>
      <c r="F96" s="1" t="str">
        <f t="shared" si="7"/>
        <v xml:space="preserve"> </v>
      </c>
      <c r="AG96" s="16" t="s">
        <v>1949</v>
      </c>
      <c r="AH96" s="16">
        <v>92</v>
      </c>
      <c r="AJ96" s="16"/>
      <c r="AK96" s="16"/>
    </row>
    <row r="97" spans="1:37" x14ac:dyDescent="0.25">
      <c r="A97" s="1" t="s">
        <v>88</v>
      </c>
      <c r="B97" s="1" t="s">
        <v>106</v>
      </c>
      <c r="C97" s="1" t="s">
        <v>199</v>
      </c>
      <c r="D97" s="1" t="str">
        <f t="shared" si="8"/>
        <v>CHIMICHAGUAC.E. SANTA LUCIA</v>
      </c>
      <c r="E97" s="1" t="str">
        <f t="shared" si="6"/>
        <v xml:space="preserve"> </v>
      </c>
      <c r="F97" s="1" t="str">
        <f t="shared" si="7"/>
        <v xml:space="preserve"> </v>
      </c>
      <c r="AG97" s="16" t="s">
        <v>1951</v>
      </c>
      <c r="AH97" s="16">
        <v>93</v>
      </c>
      <c r="AJ97" s="16"/>
      <c r="AK97" s="16"/>
    </row>
    <row r="98" spans="1:37" x14ac:dyDescent="0.25">
      <c r="A98" s="1" t="s">
        <v>89</v>
      </c>
      <c r="B98" s="1" t="s">
        <v>107</v>
      </c>
      <c r="C98" s="1" t="s">
        <v>107</v>
      </c>
      <c r="D98" s="1" t="str">
        <f t="shared" si="8"/>
        <v>CHIRIGUANÁC.E. NUEVA LUZ</v>
      </c>
      <c r="E98" s="1" t="str">
        <f t="shared" si="6"/>
        <v xml:space="preserve"> </v>
      </c>
      <c r="F98" s="1" t="str">
        <f t="shared" si="7"/>
        <v xml:space="preserve"> </v>
      </c>
      <c r="AG98" s="16" t="s">
        <v>1952</v>
      </c>
      <c r="AH98" s="16">
        <v>95</v>
      </c>
      <c r="AJ98" s="16"/>
      <c r="AK98" s="16"/>
    </row>
    <row r="99" spans="1:37" x14ac:dyDescent="0.25">
      <c r="A99" s="1" t="s">
        <v>89</v>
      </c>
      <c r="B99" s="1" t="s">
        <v>107</v>
      </c>
      <c r="C99" s="1" t="s">
        <v>200</v>
      </c>
      <c r="D99" s="1" t="str">
        <f t="shared" si="8"/>
        <v>CHIRIGUANÁC.E. NUEVA LUZ</v>
      </c>
      <c r="E99" s="1" t="str">
        <f t="shared" si="6"/>
        <v xml:space="preserve"> </v>
      </c>
      <c r="F99" s="1" t="str">
        <f t="shared" si="7"/>
        <v xml:space="preserve"> </v>
      </c>
      <c r="AG99" s="16" t="s">
        <v>1953</v>
      </c>
      <c r="AH99" s="16">
        <v>96</v>
      </c>
      <c r="AJ99" s="16"/>
      <c r="AK99" s="16"/>
    </row>
    <row r="100" spans="1:37" x14ac:dyDescent="0.25">
      <c r="A100" s="1" t="s">
        <v>89</v>
      </c>
      <c r="B100" s="1" t="s">
        <v>107</v>
      </c>
      <c r="C100" s="1" t="s">
        <v>201</v>
      </c>
      <c r="D100" s="1" t="str">
        <f t="shared" si="8"/>
        <v>CHIRIGUANÁC.E. NUEVA LUZ</v>
      </c>
      <c r="E100" s="1" t="str">
        <f t="shared" si="6"/>
        <v xml:space="preserve"> </v>
      </c>
      <c r="F100" s="1" t="str">
        <f t="shared" si="7"/>
        <v xml:space="preserve"> </v>
      </c>
      <c r="AG100" s="16" t="s">
        <v>1954</v>
      </c>
      <c r="AH100" s="16">
        <v>97</v>
      </c>
      <c r="AJ100" s="16"/>
      <c r="AK100" s="16"/>
    </row>
    <row r="101" spans="1:37" x14ac:dyDescent="0.25">
      <c r="A101" s="1" t="s">
        <v>89</v>
      </c>
      <c r="B101" s="1" t="s">
        <v>107</v>
      </c>
      <c r="C101" s="1" t="s">
        <v>202</v>
      </c>
      <c r="D101" s="1" t="str">
        <f t="shared" si="8"/>
        <v>CHIRIGUANÁC.E. NUEVA LUZ</v>
      </c>
      <c r="E101" s="1" t="str">
        <f t="shared" si="6"/>
        <v xml:space="preserve"> </v>
      </c>
      <c r="F101" s="1" t="str">
        <f t="shared" si="7"/>
        <v xml:space="preserve"> </v>
      </c>
      <c r="AG101" s="16" t="s">
        <v>1955</v>
      </c>
      <c r="AH101" s="16">
        <v>98</v>
      </c>
      <c r="AJ101" s="16"/>
      <c r="AK101" s="16"/>
    </row>
    <row r="102" spans="1:37" x14ac:dyDescent="0.25">
      <c r="A102" s="1" t="s">
        <v>89</v>
      </c>
      <c r="B102" s="1" t="s">
        <v>107</v>
      </c>
      <c r="C102" s="1" t="s">
        <v>203</v>
      </c>
      <c r="D102" s="1" t="str">
        <f t="shared" si="8"/>
        <v>CHIRIGUANÁC.E. NUEVA LUZ</v>
      </c>
      <c r="E102" s="1" t="str">
        <f t="shared" si="6"/>
        <v xml:space="preserve"> </v>
      </c>
      <c r="F102" s="1" t="str">
        <f t="shared" si="7"/>
        <v xml:space="preserve"> </v>
      </c>
      <c r="AG102" s="16" t="s">
        <v>1956</v>
      </c>
      <c r="AH102" s="16">
        <v>99</v>
      </c>
      <c r="AJ102" s="16"/>
      <c r="AK102" s="16"/>
    </row>
    <row r="103" spans="1:37" x14ac:dyDescent="0.25">
      <c r="A103" s="1" t="s">
        <v>89</v>
      </c>
      <c r="B103" s="1" t="s">
        <v>107</v>
      </c>
      <c r="C103" s="1" t="s">
        <v>204</v>
      </c>
      <c r="D103" s="1" t="str">
        <f t="shared" si="8"/>
        <v>CHIRIGUANÁC.E. NUEVA LUZ</v>
      </c>
      <c r="E103" s="1" t="str">
        <f t="shared" si="6"/>
        <v xml:space="preserve"> </v>
      </c>
      <c r="F103" s="1" t="str">
        <f t="shared" si="7"/>
        <v xml:space="preserve"> </v>
      </c>
      <c r="AG103" s="16" t="s">
        <v>1957</v>
      </c>
      <c r="AH103" s="16">
        <v>100</v>
      </c>
      <c r="AJ103" s="16"/>
      <c r="AK103" s="16"/>
    </row>
    <row r="104" spans="1:37" x14ac:dyDescent="0.25">
      <c r="A104" s="1" t="s">
        <v>89</v>
      </c>
      <c r="B104" s="1" t="s">
        <v>107</v>
      </c>
      <c r="C104" s="1" t="s">
        <v>205</v>
      </c>
      <c r="D104" s="1" t="str">
        <f t="shared" si="8"/>
        <v>CHIRIGUANÁC.E. NUEVA LUZ</v>
      </c>
      <c r="E104" s="1" t="str">
        <f t="shared" si="6"/>
        <v xml:space="preserve"> </v>
      </c>
      <c r="F104" s="1" t="str">
        <f t="shared" si="7"/>
        <v xml:space="preserve"> </v>
      </c>
      <c r="AG104" s="16" t="s">
        <v>1958</v>
      </c>
      <c r="AH104" s="16">
        <v>101</v>
      </c>
      <c r="AJ104" s="16"/>
      <c r="AK104" s="16"/>
    </row>
    <row r="105" spans="1:37" x14ac:dyDescent="0.25">
      <c r="A105" s="1" t="s">
        <v>90</v>
      </c>
      <c r="B105" s="1" t="s">
        <v>108</v>
      </c>
      <c r="C105" s="1" t="s">
        <v>108</v>
      </c>
      <c r="D105" s="1" t="str">
        <f t="shared" si="8"/>
        <v>CURUMANÍC.E. SAN PEDRO</v>
      </c>
      <c r="E105" s="1" t="str">
        <f t="shared" si="6"/>
        <v xml:space="preserve"> </v>
      </c>
      <c r="F105" s="1" t="str">
        <f t="shared" si="7"/>
        <v xml:space="preserve"> </v>
      </c>
      <c r="AG105" s="16" t="s">
        <v>1959</v>
      </c>
      <c r="AH105" s="16">
        <v>102</v>
      </c>
      <c r="AJ105" s="16"/>
      <c r="AK105" s="16"/>
    </row>
    <row r="106" spans="1:37" x14ac:dyDescent="0.25">
      <c r="A106" s="1" t="s">
        <v>90</v>
      </c>
      <c r="B106" s="1" t="s">
        <v>108</v>
      </c>
      <c r="C106" s="1" t="s">
        <v>206</v>
      </c>
      <c r="D106" s="1" t="str">
        <f t="shared" si="8"/>
        <v>CURUMANÍC.E. SAN PEDRO</v>
      </c>
      <c r="E106" s="1" t="str">
        <f t="shared" si="6"/>
        <v xml:space="preserve"> </v>
      </c>
      <c r="F106" s="1" t="str">
        <f t="shared" si="7"/>
        <v xml:space="preserve"> </v>
      </c>
      <c r="AG106" s="16" t="s">
        <v>1960</v>
      </c>
      <c r="AH106" s="16">
        <v>103</v>
      </c>
      <c r="AJ106" s="16"/>
      <c r="AK106" s="16"/>
    </row>
    <row r="107" spans="1:37" x14ac:dyDescent="0.25">
      <c r="A107" s="1" t="s">
        <v>90</v>
      </c>
      <c r="B107" s="1" t="s">
        <v>108</v>
      </c>
      <c r="C107" s="1" t="s">
        <v>207</v>
      </c>
      <c r="D107" s="1" t="str">
        <f t="shared" si="8"/>
        <v>CURUMANÍC.E. SAN PEDRO</v>
      </c>
      <c r="E107" s="1" t="str">
        <f t="shared" si="6"/>
        <v xml:space="preserve"> </v>
      </c>
      <c r="F107" s="1" t="str">
        <f t="shared" si="7"/>
        <v xml:space="preserve"> </v>
      </c>
      <c r="AG107" s="16" t="s">
        <v>1961</v>
      </c>
      <c r="AH107" s="16">
        <v>104</v>
      </c>
      <c r="AJ107" s="16"/>
      <c r="AK107" s="16"/>
    </row>
    <row r="108" spans="1:37" x14ac:dyDescent="0.25">
      <c r="A108" s="1" t="s">
        <v>90</v>
      </c>
      <c r="B108" s="1" t="s">
        <v>108</v>
      </c>
      <c r="C108" s="1" t="s">
        <v>208</v>
      </c>
      <c r="D108" s="1" t="str">
        <f t="shared" si="8"/>
        <v>CURUMANÍC.E. SAN PEDRO</v>
      </c>
      <c r="E108" s="1" t="str">
        <f t="shared" si="6"/>
        <v xml:space="preserve"> </v>
      </c>
      <c r="F108" s="1" t="str">
        <f t="shared" si="7"/>
        <v xml:space="preserve"> </v>
      </c>
      <c r="AG108" s="16" t="s">
        <v>1962</v>
      </c>
      <c r="AH108" s="16">
        <v>105</v>
      </c>
      <c r="AJ108" s="16"/>
      <c r="AK108" s="16"/>
    </row>
    <row r="109" spans="1:37" x14ac:dyDescent="0.25">
      <c r="A109" s="1" t="s">
        <v>90</v>
      </c>
      <c r="B109" s="1" t="s">
        <v>108</v>
      </c>
      <c r="C109" s="1" t="s">
        <v>209</v>
      </c>
      <c r="D109" s="1" t="str">
        <f t="shared" si="8"/>
        <v>CURUMANÍC.E. SAN PEDRO</v>
      </c>
      <c r="E109" s="1" t="str">
        <f t="shared" si="6"/>
        <v xml:space="preserve"> </v>
      </c>
      <c r="F109" s="1" t="str">
        <f t="shared" si="7"/>
        <v xml:space="preserve"> </v>
      </c>
      <c r="AG109" s="16" t="s">
        <v>1963</v>
      </c>
      <c r="AH109" s="16">
        <v>106</v>
      </c>
      <c r="AJ109" s="16"/>
      <c r="AK109" s="16"/>
    </row>
    <row r="110" spans="1:37" x14ac:dyDescent="0.25">
      <c r="A110" s="1" t="s">
        <v>90</v>
      </c>
      <c r="B110" s="1" t="s">
        <v>108</v>
      </c>
      <c r="C110" s="1" t="s">
        <v>201</v>
      </c>
      <c r="D110" s="1" t="str">
        <f t="shared" si="8"/>
        <v>CURUMANÍC.E. SAN PEDRO</v>
      </c>
      <c r="E110" s="1" t="str">
        <f t="shared" si="6"/>
        <v xml:space="preserve"> </v>
      </c>
      <c r="F110" s="1" t="str">
        <f t="shared" si="7"/>
        <v xml:space="preserve"> </v>
      </c>
      <c r="AG110" s="16" t="s">
        <v>1964</v>
      </c>
      <c r="AH110" s="16">
        <v>107</v>
      </c>
      <c r="AJ110" s="16"/>
      <c r="AK110" s="16"/>
    </row>
    <row r="111" spans="1:37" x14ac:dyDescent="0.25">
      <c r="A111" s="1" t="s">
        <v>91</v>
      </c>
      <c r="B111" s="1" t="s">
        <v>109</v>
      </c>
      <c r="C111" s="1" t="s">
        <v>109</v>
      </c>
      <c r="D111" s="1" t="str">
        <f t="shared" si="8"/>
        <v>EL COPEYC.E. CORAZONES ABAJO</v>
      </c>
      <c r="E111" s="1" t="str">
        <f t="shared" si="6"/>
        <v xml:space="preserve"> </v>
      </c>
      <c r="F111" s="1" t="str">
        <f t="shared" si="7"/>
        <v xml:space="preserve"> </v>
      </c>
      <c r="AG111" s="16" t="s">
        <v>1965</v>
      </c>
      <c r="AH111" s="16">
        <v>108</v>
      </c>
      <c r="AJ111" s="16"/>
      <c r="AK111" s="16"/>
    </row>
    <row r="112" spans="1:37" x14ac:dyDescent="0.25">
      <c r="A112" s="1" t="s">
        <v>91</v>
      </c>
      <c r="B112" s="1" t="s">
        <v>109</v>
      </c>
      <c r="C112" s="1" t="s">
        <v>210</v>
      </c>
      <c r="D112" s="1" t="str">
        <f t="shared" si="8"/>
        <v>EL COPEYC.E. CORAZONES ABAJO</v>
      </c>
      <c r="E112" s="1" t="str">
        <f t="shared" si="6"/>
        <v xml:space="preserve"> </v>
      </c>
      <c r="F112" s="1" t="str">
        <f t="shared" si="7"/>
        <v xml:space="preserve"> </v>
      </c>
      <c r="AG112" s="16" t="s">
        <v>1966</v>
      </c>
      <c r="AH112" s="16">
        <v>109</v>
      </c>
      <c r="AJ112" s="16"/>
      <c r="AK112" s="16"/>
    </row>
    <row r="113" spans="1:37" x14ac:dyDescent="0.25">
      <c r="A113" s="1" t="s">
        <v>91</v>
      </c>
      <c r="B113" s="1" t="s">
        <v>109</v>
      </c>
      <c r="C113" s="1" t="s">
        <v>211</v>
      </c>
      <c r="D113" s="1" t="str">
        <f t="shared" si="8"/>
        <v>EL COPEYC.E. CORAZONES ABAJO</v>
      </c>
      <c r="E113" s="1" t="str">
        <f t="shared" si="6"/>
        <v xml:space="preserve"> </v>
      </c>
      <c r="F113" s="1" t="str">
        <f t="shared" si="7"/>
        <v xml:space="preserve"> </v>
      </c>
      <c r="AG113" s="16" t="s">
        <v>1967</v>
      </c>
      <c r="AH113" s="16">
        <v>110</v>
      </c>
      <c r="AJ113" s="16"/>
      <c r="AK113" s="16"/>
    </row>
    <row r="114" spans="1:37" x14ac:dyDescent="0.25">
      <c r="A114" s="1" t="s">
        <v>91</v>
      </c>
      <c r="B114" s="1" t="s">
        <v>109</v>
      </c>
      <c r="C114" s="1" t="s">
        <v>212</v>
      </c>
      <c r="D114" s="1" t="str">
        <f t="shared" si="8"/>
        <v>EL COPEYC.E. CORAZONES ABAJO</v>
      </c>
      <c r="E114" s="1" t="str">
        <f t="shared" si="6"/>
        <v xml:space="preserve"> </v>
      </c>
      <c r="F114" s="1" t="str">
        <f t="shared" si="7"/>
        <v xml:space="preserve"> </v>
      </c>
      <c r="AG114" s="16" t="s">
        <v>1968</v>
      </c>
      <c r="AH114" s="16">
        <v>111</v>
      </c>
      <c r="AJ114" s="16"/>
      <c r="AK114" s="16"/>
    </row>
    <row r="115" spans="1:37" x14ac:dyDescent="0.25">
      <c r="A115" s="1" t="s">
        <v>91</v>
      </c>
      <c r="B115" s="1" t="s">
        <v>109</v>
      </c>
      <c r="C115" s="1" t="s">
        <v>213</v>
      </c>
      <c r="D115" s="1" t="str">
        <f t="shared" si="8"/>
        <v>EL COPEYC.E. CORAZONES ABAJO</v>
      </c>
      <c r="E115" s="1" t="str">
        <f t="shared" si="6"/>
        <v xml:space="preserve"> </v>
      </c>
      <c r="F115" s="1" t="str">
        <f t="shared" si="7"/>
        <v xml:space="preserve"> </v>
      </c>
      <c r="AG115" s="16" t="s">
        <v>1969</v>
      </c>
      <c r="AH115" s="16">
        <v>112</v>
      </c>
      <c r="AJ115" s="16"/>
      <c r="AK115" s="16"/>
    </row>
    <row r="116" spans="1:37" x14ac:dyDescent="0.25">
      <c r="A116" s="1" t="s">
        <v>91</v>
      </c>
      <c r="B116" s="1" t="s">
        <v>109</v>
      </c>
      <c r="C116" s="1" t="s">
        <v>214</v>
      </c>
      <c r="D116" s="1" t="str">
        <f t="shared" si="8"/>
        <v>EL COPEYC.E. CORAZONES ABAJO</v>
      </c>
      <c r="E116" s="1" t="str">
        <f t="shared" si="6"/>
        <v xml:space="preserve"> </v>
      </c>
      <c r="F116" s="1" t="str">
        <f t="shared" si="7"/>
        <v xml:space="preserve"> </v>
      </c>
      <c r="AG116" s="16" t="s">
        <v>1970</v>
      </c>
      <c r="AH116" s="16">
        <v>113</v>
      </c>
      <c r="AJ116" s="16"/>
      <c r="AK116" s="16"/>
    </row>
    <row r="117" spans="1:37" x14ac:dyDescent="0.25">
      <c r="A117" s="1" t="s">
        <v>91</v>
      </c>
      <c r="B117" s="1" t="s">
        <v>109</v>
      </c>
      <c r="C117" s="1" t="s">
        <v>215</v>
      </c>
      <c r="D117" s="1" t="str">
        <f t="shared" si="8"/>
        <v>EL COPEYC.E. CORAZONES ABAJO</v>
      </c>
      <c r="E117" s="1" t="str">
        <f t="shared" si="6"/>
        <v xml:space="preserve"> </v>
      </c>
      <c r="F117" s="1" t="str">
        <f t="shared" si="7"/>
        <v xml:space="preserve"> </v>
      </c>
      <c r="AG117" s="16" t="s">
        <v>1971</v>
      </c>
      <c r="AH117" s="16">
        <v>114</v>
      </c>
      <c r="AJ117" s="16"/>
      <c r="AK117" s="16"/>
    </row>
    <row r="118" spans="1:37" x14ac:dyDescent="0.25">
      <c r="A118" s="1" t="s">
        <v>91</v>
      </c>
      <c r="B118" s="1" t="s">
        <v>109</v>
      </c>
      <c r="C118" s="1" t="s">
        <v>216</v>
      </c>
      <c r="D118" s="1" t="str">
        <f t="shared" si="8"/>
        <v>EL COPEYC.E. CORAZONES ABAJO</v>
      </c>
      <c r="E118" s="1" t="str">
        <f t="shared" si="6"/>
        <v xml:space="preserve"> </v>
      </c>
      <c r="F118" s="1" t="str">
        <f t="shared" si="7"/>
        <v xml:space="preserve"> </v>
      </c>
      <c r="AG118" s="16" t="s">
        <v>1972</v>
      </c>
      <c r="AH118" s="16">
        <v>115</v>
      </c>
      <c r="AJ118" s="16"/>
      <c r="AK118" s="16"/>
    </row>
    <row r="119" spans="1:37" x14ac:dyDescent="0.25">
      <c r="A119" s="1" t="s">
        <v>91</v>
      </c>
      <c r="B119" s="1" t="s">
        <v>109</v>
      </c>
      <c r="C119" s="1" t="s">
        <v>217</v>
      </c>
      <c r="D119" s="1" t="str">
        <f t="shared" si="8"/>
        <v>EL COPEYC.E. CORAZONES ABAJO</v>
      </c>
      <c r="E119" s="1" t="str">
        <f t="shared" si="6"/>
        <v xml:space="preserve"> </v>
      </c>
      <c r="F119" s="1" t="str">
        <f t="shared" si="7"/>
        <v xml:space="preserve"> </v>
      </c>
      <c r="AG119" s="16" t="s">
        <v>1973</v>
      </c>
      <c r="AH119" s="16">
        <v>116</v>
      </c>
      <c r="AJ119" s="16"/>
      <c r="AK119" s="16"/>
    </row>
    <row r="120" spans="1:37" x14ac:dyDescent="0.25">
      <c r="A120" s="1" t="s">
        <v>91</v>
      </c>
      <c r="B120" s="1" t="s">
        <v>109</v>
      </c>
      <c r="C120" s="1" t="s">
        <v>218</v>
      </c>
      <c r="D120" s="1" t="str">
        <f t="shared" si="8"/>
        <v>EL COPEYC.E. CORAZONES ABAJO</v>
      </c>
      <c r="E120" s="1" t="str">
        <f t="shared" ref="E120:E151" si="9">IF($D$24=D121,C121," ")</f>
        <v xml:space="preserve"> </v>
      </c>
      <c r="F120" s="1" t="str">
        <f t="shared" ref="F120:F151" si="10">TEXT(E120,"#")</f>
        <v xml:space="preserve"> </v>
      </c>
      <c r="AG120" s="16" t="s">
        <v>1974</v>
      </c>
      <c r="AH120" s="16">
        <v>117</v>
      </c>
      <c r="AJ120" s="16"/>
      <c r="AK120" s="16"/>
    </row>
    <row r="121" spans="1:37" x14ac:dyDescent="0.25">
      <c r="A121" s="1" t="s">
        <v>91</v>
      </c>
      <c r="B121" s="1" t="s">
        <v>109</v>
      </c>
      <c r="C121" s="1" t="s">
        <v>173</v>
      </c>
      <c r="D121" s="1" t="str">
        <f t="shared" ref="D121:D152" si="11">A121&amp;B121</f>
        <v>EL COPEYC.E. CORAZONES ABAJO</v>
      </c>
      <c r="E121" s="1" t="str">
        <f t="shared" si="9"/>
        <v xml:space="preserve"> </v>
      </c>
      <c r="F121" s="1" t="str">
        <f t="shared" si="10"/>
        <v xml:space="preserve"> </v>
      </c>
      <c r="AG121" s="16" t="s">
        <v>1975</v>
      </c>
      <c r="AH121" s="16">
        <v>118</v>
      </c>
      <c r="AJ121" s="16"/>
      <c r="AK121" s="16"/>
    </row>
    <row r="122" spans="1:37" x14ac:dyDescent="0.25">
      <c r="A122" s="1" t="s">
        <v>91</v>
      </c>
      <c r="B122" s="1" t="s">
        <v>109</v>
      </c>
      <c r="C122" s="1" t="s">
        <v>219</v>
      </c>
      <c r="D122" s="1" t="str">
        <f t="shared" si="11"/>
        <v>EL COPEYC.E. CORAZONES ABAJO</v>
      </c>
      <c r="E122" s="1" t="str">
        <f t="shared" si="9"/>
        <v xml:space="preserve"> </v>
      </c>
      <c r="F122" s="1" t="str">
        <f t="shared" si="10"/>
        <v xml:space="preserve"> </v>
      </c>
      <c r="AG122" s="16" t="s">
        <v>1976</v>
      </c>
      <c r="AH122" s="16">
        <v>119</v>
      </c>
      <c r="AJ122" s="16"/>
      <c r="AK122" s="16"/>
    </row>
    <row r="123" spans="1:37" x14ac:dyDescent="0.25">
      <c r="A123" s="1" t="s">
        <v>91</v>
      </c>
      <c r="B123" s="1" t="s">
        <v>109</v>
      </c>
      <c r="C123" s="1" t="s">
        <v>156</v>
      </c>
      <c r="D123" s="1" t="str">
        <f t="shared" si="11"/>
        <v>EL COPEYC.E. CORAZONES ABAJO</v>
      </c>
      <c r="E123" s="1" t="str">
        <f t="shared" si="9"/>
        <v xml:space="preserve"> </v>
      </c>
      <c r="F123" s="1" t="str">
        <f t="shared" si="10"/>
        <v xml:space="preserve"> </v>
      </c>
      <c r="AG123" s="16" t="s">
        <v>1977</v>
      </c>
      <c r="AH123" s="16">
        <v>120</v>
      </c>
      <c r="AJ123" s="16"/>
      <c r="AK123" s="16"/>
    </row>
    <row r="124" spans="1:37" x14ac:dyDescent="0.25">
      <c r="A124" s="1" t="s">
        <v>91</v>
      </c>
      <c r="B124" s="1" t="s">
        <v>109</v>
      </c>
      <c r="C124" s="1" t="s">
        <v>220</v>
      </c>
      <c r="D124" s="1" t="str">
        <f t="shared" si="11"/>
        <v>EL COPEYC.E. CORAZONES ABAJO</v>
      </c>
      <c r="E124" s="1" t="str">
        <f t="shared" si="9"/>
        <v xml:space="preserve"> </v>
      </c>
      <c r="F124" s="1" t="str">
        <f t="shared" si="10"/>
        <v xml:space="preserve"> </v>
      </c>
      <c r="AG124" s="16" t="s">
        <v>1978</v>
      </c>
      <c r="AH124" s="16">
        <v>121</v>
      </c>
      <c r="AJ124" s="16"/>
      <c r="AK124" s="16"/>
    </row>
    <row r="125" spans="1:37" x14ac:dyDescent="0.25">
      <c r="A125" s="1" t="s">
        <v>91</v>
      </c>
      <c r="B125" s="1" t="s">
        <v>109</v>
      </c>
      <c r="C125" s="1" t="s">
        <v>221</v>
      </c>
      <c r="D125" s="1" t="str">
        <f t="shared" si="11"/>
        <v>EL COPEYC.E. CORAZONES ABAJO</v>
      </c>
      <c r="E125" s="1" t="str">
        <f t="shared" si="9"/>
        <v xml:space="preserve"> </v>
      </c>
      <c r="F125" s="1" t="str">
        <f t="shared" si="10"/>
        <v xml:space="preserve"> </v>
      </c>
      <c r="AG125" s="16" t="s">
        <v>1979</v>
      </c>
      <c r="AH125" s="16">
        <v>122</v>
      </c>
      <c r="AJ125" s="16"/>
      <c r="AK125" s="16"/>
    </row>
    <row r="126" spans="1:37" x14ac:dyDescent="0.25">
      <c r="A126" s="1" t="s">
        <v>91</v>
      </c>
      <c r="B126" s="1" t="s">
        <v>109</v>
      </c>
      <c r="C126" s="1" t="s">
        <v>222</v>
      </c>
      <c r="D126" s="1" t="str">
        <f t="shared" si="11"/>
        <v>EL COPEYC.E. CORAZONES ABAJO</v>
      </c>
      <c r="E126" s="1" t="str">
        <f t="shared" si="9"/>
        <v xml:space="preserve"> </v>
      </c>
      <c r="F126" s="1" t="str">
        <f t="shared" si="10"/>
        <v xml:space="preserve"> </v>
      </c>
      <c r="AG126" s="16" t="s">
        <v>1980</v>
      </c>
      <c r="AH126" s="16">
        <v>123</v>
      </c>
      <c r="AJ126" s="16"/>
      <c r="AK126" s="16"/>
    </row>
    <row r="127" spans="1:37" x14ac:dyDescent="0.25">
      <c r="A127" s="1" t="s">
        <v>91</v>
      </c>
      <c r="B127" s="1" t="s">
        <v>109</v>
      </c>
      <c r="C127" s="1" t="s">
        <v>223</v>
      </c>
      <c r="D127" s="1" t="str">
        <f t="shared" si="11"/>
        <v>EL COPEYC.E. CORAZONES ABAJO</v>
      </c>
      <c r="E127" s="1" t="str">
        <f t="shared" si="9"/>
        <v xml:space="preserve"> </v>
      </c>
      <c r="F127" s="1" t="str">
        <f t="shared" si="10"/>
        <v xml:space="preserve"> </v>
      </c>
      <c r="AG127" s="16" t="s">
        <v>1981</v>
      </c>
      <c r="AH127" s="16">
        <v>124</v>
      </c>
      <c r="AJ127" s="16"/>
      <c r="AK127" s="16"/>
    </row>
    <row r="128" spans="1:37" x14ac:dyDescent="0.25">
      <c r="A128" s="1" t="s">
        <v>91</v>
      </c>
      <c r="B128" s="1" t="s">
        <v>110</v>
      </c>
      <c r="C128" s="1" t="s">
        <v>110</v>
      </c>
      <c r="D128" s="1" t="str">
        <f t="shared" si="11"/>
        <v>EL COPEYI.E. EL REPOSO</v>
      </c>
      <c r="E128" s="1" t="str">
        <f t="shared" si="9"/>
        <v xml:space="preserve"> </v>
      </c>
      <c r="F128" s="1" t="str">
        <f t="shared" si="10"/>
        <v xml:space="preserve"> </v>
      </c>
      <c r="AG128" s="16" t="s">
        <v>1982</v>
      </c>
      <c r="AH128" s="16">
        <v>125</v>
      </c>
      <c r="AJ128" s="16"/>
      <c r="AK128" s="16"/>
    </row>
    <row r="129" spans="1:37" x14ac:dyDescent="0.25">
      <c r="A129" s="1" t="s">
        <v>91</v>
      </c>
      <c r="B129" s="1" t="s">
        <v>110</v>
      </c>
      <c r="C129" s="1" t="s">
        <v>224</v>
      </c>
      <c r="D129" s="1" t="str">
        <f t="shared" si="11"/>
        <v>EL COPEYI.E. EL REPOSO</v>
      </c>
      <c r="E129" s="1" t="str">
        <f t="shared" si="9"/>
        <v xml:space="preserve"> </v>
      </c>
      <c r="F129" s="1" t="str">
        <f t="shared" si="10"/>
        <v xml:space="preserve"> </v>
      </c>
      <c r="AG129" s="16" t="s">
        <v>1983</v>
      </c>
      <c r="AH129" s="16">
        <v>126</v>
      </c>
      <c r="AJ129" s="16"/>
      <c r="AK129" s="16"/>
    </row>
    <row r="130" spans="1:37" x14ac:dyDescent="0.25">
      <c r="A130" s="1" t="s">
        <v>91</v>
      </c>
      <c r="B130" s="1" t="s">
        <v>110</v>
      </c>
      <c r="C130" s="1" t="s">
        <v>225</v>
      </c>
      <c r="D130" s="1" t="str">
        <f t="shared" si="11"/>
        <v>EL COPEYI.E. EL REPOSO</v>
      </c>
      <c r="E130" s="1" t="str">
        <f t="shared" si="9"/>
        <v xml:space="preserve"> </v>
      </c>
      <c r="F130" s="1" t="str">
        <f t="shared" si="10"/>
        <v xml:space="preserve"> </v>
      </c>
      <c r="AG130" s="16" t="s">
        <v>1984</v>
      </c>
      <c r="AH130" s="16">
        <v>127</v>
      </c>
      <c r="AJ130" s="16"/>
      <c r="AK130" s="16"/>
    </row>
    <row r="131" spans="1:37" x14ac:dyDescent="0.25">
      <c r="A131" s="1" t="s">
        <v>91</v>
      </c>
      <c r="B131" s="1" t="s">
        <v>110</v>
      </c>
      <c r="C131" s="1" t="s">
        <v>226</v>
      </c>
      <c r="D131" s="1" t="str">
        <f t="shared" si="11"/>
        <v>EL COPEYI.E. EL REPOSO</v>
      </c>
      <c r="E131" s="1" t="str">
        <f t="shared" si="9"/>
        <v xml:space="preserve"> </v>
      </c>
      <c r="F131" s="1" t="str">
        <f t="shared" si="10"/>
        <v xml:space="preserve"> </v>
      </c>
      <c r="AG131" s="16" t="s">
        <v>1985</v>
      </c>
      <c r="AH131" s="16">
        <v>128</v>
      </c>
      <c r="AJ131" s="16"/>
      <c r="AK131" s="16"/>
    </row>
    <row r="132" spans="1:37" x14ac:dyDescent="0.25">
      <c r="A132" s="1" t="s">
        <v>91</v>
      </c>
      <c r="B132" s="1" t="s">
        <v>110</v>
      </c>
      <c r="C132" s="1" t="s">
        <v>227</v>
      </c>
      <c r="D132" s="1" t="str">
        <f t="shared" si="11"/>
        <v>EL COPEYI.E. EL REPOSO</v>
      </c>
      <c r="E132" s="1" t="str">
        <f t="shared" si="9"/>
        <v xml:space="preserve"> </v>
      </c>
      <c r="F132" s="1" t="str">
        <f t="shared" si="10"/>
        <v xml:space="preserve"> </v>
      </c>
      <c r="AG132" s="16" t="s">
        <v>1986</v>
      </c>
      <c r="AH132" s="16">
        <v>129</v>
      </c>
      <c r="AJ132" s="16"/>
      <c r="AK132" s="16"/>
    </row>
    <row r="133" spans="1:37" x14ac:dyDescent="0.25">
      <c r="A133" s="1" t="s">
        <v>91</v>
      </c>
      <c r="B133" s="1" t="s">
        <v>110</v>
      </c>
      <c r="C133" s="1" t="s">
        <v>228</v>
      </c>
      <c r="D133" s="1" t="str">
        <f t="shared" si="11"/>
        <v>EL COPEYI.E. EL REPOSO</v>
      </c>
      <c r="E133" s="1" t="str">
        <f t="shared" si="9"/>
        <v xml:space="preserve"> </v>
      </c>
      <c r="F133" s="1" t="str">
        <f t="shared" si="10"/>
        <v xml:space="preserve"> </v>
      </c>
      <c r="AG133" s="16" t="s">
        <v>1987</v>
      </c>
      <c r="AH133" s="16">
        <v>130</v>
      </c>
      <c r="AJ133" s="16"/>
      <c r="AK133" s="16"/>
    </row>
    <row r="134" spans="1:37" x14ac:dyDescent="0.25">
      <c r="A134" s="1" t="s">
        <v>91</v>
      </c>
      <c r="B134" s="1" t="s">
        <v>110</v>
      </c>
      <c r="C134" s="1" t="s">
        <v>229</v>
      </c>
      <c r="D134" s="1" t="str">
        <f t="shared" si="11"/>
        <v>EL COPEYI.E. EL REPOSO</v>
      </c>
      <c r="E134" s="1" t="str">
        <f t="shared" si="9"/>
        <v xml:space="preserve"> </v>
      </c>
      <c r="F134" s="1" t="str">
        <f t="shared" si="10"/>
        <v xml:space="preserve"> </v>
      </c>
      <c r="AG134" s="16" t="s">
        <v>1988</v>
      </c>
      <c r="AH134" s="16">
        <v>131</v>
      </c>
      <c r="AJ134" s="16"/>
      <c r="AK134" s="16"/>
    </row>
    <row r="135" spans="1:37" x14ac:dyDescent="0.25">
      <c r="A135" s="1" t="s">
        <v>91</v>
      </c>
      <c r="B135" s="1" t="s">
        <v>110</v>
      </c>
      <c r="C135" s="1" t="s">
        <v>230</v>
      </c>
      <c r="D135" s="1" t="str">
        <f t="shared" si="11"/>
        <v>EL COPEYI.E. EL REPOSO</v>
      </c>
      <c r="E135" s="1" t="str">
        <f t="shared" si="9"/>
        <v xml:space="preserve"> </v>
      </c>
      <c r="F135" s="1" t="str">
        <f t="shared" si="10"/>
        <v xml:space="preserve"> </v>
      </c>
      <c r="AG135" s="16" t="s">
        <v>1989</v>
      </c>
      <c r="AH135" s="16">
        <v>132</v>
      </c>
      <c r="AJ135" s="16"/>
      <c r="AK135" s="16"/>
    </row>
    <row r="136" spans="1:37" x14ac:dyDescent="0.25">
      <c r="A136" s="1" t="s">
        <v>91</v>
      </c>
      <c r="B136" s="1" t="s">
        <v>110</v>
      </c>
      <c r="C136" s="1" t="s">
        <v>231</v>
      </c>
      <c r="D136" s="1" t="str">
        <f t="shared" si="11"/>
        <v>EL COPEYI.E. EL REPOSO</v>
      </c>
      <c r="E136" s="1" t="str">
        <f t="shared" si="9"/>
        <v xml:space="preserve"> </v>
      </c>
      <c r="F136" s="1" t="str">
        <f t="shared" si="10"/>
        <v xml:space="preserve"> </v>
      </c>
      <c r="AG136" s="16" t="s">
        <v>1990</v>
      </c>
      <c r="AH136" s="16">
        <v>133</v>
      </c>
      <c r="AJ136" s="16"/>
      <c r="AK136" s="16"/>
    </row>
    <row r="137" spans="1:37" x14ac:dyDescent="0.25">
      <c r="A137" s="1" t="s">
        <v>91</v>
      </c>
      <c r="B137" s="1" t="s">
        <v>110</v>
      </c>
      <c r="C137" s="1" t="s">
        <v>232</v>
      </c>
      <c r="D137" s="1" t="str">
        <f t="shared" si="11"/>
        <v>EL COPEYI.E. EL REPOSO</v>
      </c>
      <c r="E137" s="1" t="str">
        <f t="shared" si="9"/>
        <v xml:space="preserve"> </v>
      </c>
      <c r="F137" s="1" t="str">
        <f t="shared" si="10"/>
        <v xml:space="preserve"> </v>
      </c>
      <c r="AG137" s="16" t="s">
        <v>1991</v>
      </c>
      <c r="AH137" s="16">
        <v>134</v>
      </c>
      <c r="AJ137" s="16"/>
      <c r="AK137" s="16"/>
    </row>
    <row r="138" spans="1:37" x14ac:dyDescent="0.25">
      <c r="A138" s="1" t="s">
        <v>91</v>
      </c>
      <c r="B138" s="1" t="s">
        <v>110</v>
      </c>
      <c r="C138" s="1" t="s">
        <v>233</v>
      </c>
      <c r="D138" s="1" t="str">
        <f t="shared" si="11"/>
        <v>EL COPEYI.E. EL REPOSO</v>
      </c>
      <c r="E138" s="1" t="str">
        <f t="shared" si="9"/>
        <v xml:space="preserve"> </v>
      </c>
      <c r="F138" s="1" t="str">
        <f t="shared" si="10"/>
        <v xml:space="preserve"> </v>
      </c>
      <c r="AG138" s="16" t="s">
        <v>791</v>
      </c>
      <c r="AH138" s="16">
        <v>135</v>
      </c>
      <c r="AJ138" s="16"/>
      <c r="AK138" s="16"/>
    </row>
    <row r="139" spans="1:37" x14ac:dyDescent="0.25">
      <c r="A139" s="1" t="s">
        <v>91</v>
      </c>
      <c r="B139" s="1" t="s">
        <v>110</v>
      </c>
      <c r="C139" s="1" t="s">
        <v>234</v>
      </c>
      <c r="D139" s="1" t="str">
        <f t="shared" si="11"/>
        <v>EL COPEYI.E. EL REPOSO</v>
      </c>
      <c r="E139" s="1" t="str">
        <f t="shared" si="9"/>
        <v xml:space="preserve"> </v>
      </c>
      <c r="F139" s="1" t="str">
        <f t="shared" si="10"/>
        <v xml:space="preserve"> </v>
      </c>
      <c r="AG139" s="16" t="s">
        <v>1992</v>
      </c>
      <c r="AH139" s="16">
        <v>136</v>
      </c>
      <c r="AJ139" s="16"/>
      <c r="AK139" s="16"/>
    </row>
    <row r="140" spans="1:37" x14ac:dyDescent="0.25">
      <c r="A140" s="1" t="s">
        <v>91</v>
      </c>
      <c r="B140" s="1" t="s">
        <v>110</v>
      </c>
      <c r="C140" s="1" t="s">
        <v>235</v>
      </c>
      <c r="D140" s="1" t="str">
        <f t="shared" si="11"/>
        <v>EL COPEYI.E. EL REPOSO</v>
      </c>
      <c r="E140" s="1" t="str">
        <f t="shared" si="9"/>
        <v xml:space="preserve"> </v>
      </c>
      <c r="F140" s="1" t="str">
        <f t="shared" si="10"/>
        <v xml:space="preserve"> </v>
      </c>
      <c r="AG140" s="16" t="s">
        <v>1993</v>
      </c>
      <c r="AH140" s="16">
        <v>137</v>
      </c>
      <c r="AJ140" s="16"/>
      <c r="AK140" s="16"/>
    </row>
    <row r="141" spans="1:37" x14ac:dyDescent="0.25">
      <c r="A141" s="1" t="s">
        <v>91</v>
      </c>
      <c r="B141" s="1" t="s">
        <v>110</v>
      </c>
      <c r="C141" s="1" t="s">
        <v>236</v>
      </c>
      <c r="D141" s="1" t="str">
        <f t="shared" si="11"/>
        <v>EL COPEYI.E. EL REPOSO</v>
      </c>
      <c r="E141" s="1" t="str">
        <f t="shared" si="9"/>
        <v xml:space="preserve"> </v>
      </c>
      <c r="F141" s="1" t="str">
        <f t="shared" si="10"/>
        <v xml:space="preserve"> </v>
      </c>
      <c r="AG141" s="16" t="s">
        <v>1994</v>
      </c>
      <c r="AH141" s="16">
        <v>138</v>
      </c>
      <c r="AJ141" s="16"/>
      <c r="AK141" s="16"/>
    </row>
    <row r="142" spans="1:37" x14ac:dyDescent="0.25">
      <c r="A142" s="1" t="s">
        <v>91</v>
      </c>
      <c r="B142" s="1" t="s">
        <v>110</v>
      </c>
      <c r="C142" s="1" t="s">
        <v>237</v>
      </c>
      <c r="D142" s="1" t="str">
        <f t="shared" si="11"/>
        <v>EL COPEYI.E. EL REPOSO</v>
      </c>
      <c r="E142" s="1" t="str">
        <f t="shared" si="9"/>
        <v xml:space="preserve"> </v>
      </c>
      <c r="F142" s="1" t="str">
        <f t="shared" si="10"/>
        <v xml:space="preserve"> </v>
      </c>
      <c r="AG142" s="16" t="s">
        <v>1110</v>
      </c>
      <c r="AH142" s="16">
        <v>139</v>
      </c>
      <c r="AJ142" s="16"/>
      <c r="AK142" s="16"/>
    </row>
    <row r="143" spans="1:37" x14ac:dyDescent="0.25">
      <c r="A143" s="1" t="s">
        <v>91</v>
      </c>
      <c r="B143" s="1" t="s">
        <v>110</v>
      </c>
      <c r="C143" s="1" t="s">
        <v>238</v>
      </c>
      <c r="D143" s="1" t="str">
        <f t="shared" si="11"/>
        <v>EL COPEYI.E. EL REPOSO</v>
      </c>
      <c r="E143" s="1" t="str">
        <f t="shared" si="9"/>
        <v xml:space="preserve"> </v>
      </c>
      <c r="F143" s="1" t="str">
        <f t="shared" si="10"/>
        <v xml:space="preserve"> </v>
      </c>
      <c r="AG143" s="16" t="s">
        <v>1995</v>
      </c>
      <c r="AH143" s="16">
        <v>140</v>
      </c>
      <c r="AJ143" s="16"/>
      <c r="AK143" s="16"/>
    </row>
    <row r="144" spans="1:37" x14ac:dyDescent="0.25">
      <c r="A144" s="1" t="s">
        <v>91</v>
      </c>
      <c r="B144" s="1" t="s">
        <v>110</v>
      </c>
      <c r="C144" s="1" t="s">
        <v>239</v>
      </c>
      <c r="D144" s="1" t="str">
        <f t="shared" si="11"/>
        <v>EL COPEYI.E. EL REPOSO</v>
      </c>
      <c r="E144" s="1" t="str">
        <f t="shared" si="9"/>
        <v xml:space="preserve"> </v>
      </c>
      <c r="F144" s="1" t="str">
        <f t="shared" si="10"/>
        <v xml:space="preserve"> </v>
      </c>
      <c r="AG144" s="16" t="s">
        <v>1996</v>
      </c>
      <c r="AH144" s="16">
        <v>141</v>
      </c>
      <c r="AJ144" s="16"/>
      <c r="AK144" s="16"/>
    </row>
    <row r="145" spans="1:37" x14ac:dyDescent="0.25">
      <c r="A145" s="1" t="s">
        <v>91</v>
      </c>
      <c r="B145" s="1" t="s">
        <v>110</v>
      </c>
      <c r="C145" s="1" t="s">
        <v>240</v>
      </c>
      <c r="D145" s="1" t="str">
        <f t="shared" si="11"/>
        <v>EL COPEYI.E. EL REPOSO</v>
      </c>
      <c r="E145" s="1" t="str">
        <f t="shared" si="9"/>
        <v xml:space="preserve"> </v>
      </c>
      <c r="F145" s="1" t="str">
        <f t="shared" si="10"/>
        <v xml:space="preserve"> </v>
      </c>
      <c r="AG145" s="16" t="s">
        <v>1997</v>
      </c>
      <c r="AH145" s="16">
        <v>142</v>
      </c>
      <c r="AJ145" s="16"/>
      <c r="AK145" s="16"/>
    </row>
    <row r="146" spans="1:37" x14ac:dyDescent="0.25">
      <c r="A146" s="1" t="s">
        <v>91</v>
      </c>
      <c r="B146" s="1" t="s">
        <v>110</v>
      </c>
      <c r="C146" s="1" t="s">
        <v>241</v>
      </c>
      <c r="D146" s="1" t="str">
        <f t="shared" si="11"/>
        <v>EL COPEYI.E. EL REPOSO</v>
      </c>
      <c r="E146" s="1" t="str">
        <f t="shared" si="9"/>
        <v xml:space="preserve"> </v>
      </c>
      <c r="F146" s="1" t="str">
        <f t="shared" si="10"/>
        <v xml:space="preserve"> </v>
      </c>
      <c r="AG146" s="16" t="s">
        <v>1998</v>
      </c>
      <c r="AH146" s="16">
        <v>143</v>
      </c>
      <c r="AJ146" s="16"/>
      <c r="AK146" s="16"/>
    </row>
    <row r="147" spans="1:37" x14ac:dyDescent="0.25">
      <c r="A147" s="1" t="s">
        <v>91</v>
      </c>
      <c r="B147" s="1" t="s">
        <v>110</v>
      </c>
      <c r="C147" s="1" t="s">
        <v>242</v>
      </c>
      <c r="D147" s="1" t="str">
        <f t="shared" si="11"/>
        <v>EL COPEYI.E. EL REPOSO</v>
      </c>
      <c r="E147" s="1" t="str">
        <f t="shared" si="9"/>
        <v xml:space="preserve"> </v>
      </c>
      <c r="F147" s="1" t="str">
        <f t="shared" si="10"/>
        <v xml:space="preserve"> </v>
      </c>
      <c r="AG147" s="16" t="s">
        <v>1999</v>
      </c>
      <c r="AH147" s="16">
        <v>144</v>
      </c>
      <c r="AJ147" s="16"/>
      <c r="AK147" s="16"/>
    </row>
    <row r="148" spans="1:37" x14ac:dyDescent="0.25">
      <c r="A148" s="1" t="s">
        <v>91</v>
      </c>
      <c r="B148" s="1" t="s">
        <v>110</v>
      </c>
      <c r="C148" s="1" t="s">
        <v>243</v>
      </c>
      <c r="D148" s="1" t="str">
        <f t="shared" si="11"/>
        <v>EL COPEYI.E. EL REPOSO</v>
      </c>
      <c r="E148" s="1" t="str">
        <f t="shared" si="9"/>
        <v xml:space="preserve"> </v>
      </c>
      <c r="F148" s="1" t="str">
        <f t="shared" si="10"/>
        <v xml:space="preserve"> </v>
      </c>
      <c r="AG148" s="16" t="s">
        <v>2000</v>
      </c>
      <c r="AH148" s="16">
        <v>145</v>
      </c>
      <c r="AJ148" s="16"/>
      <c r="AK148" s="16"/>
    </row>
    <row r="149" spans="1:37" x14ac:dyDescent="0.25">
      <c r="A149" s="1" t="s">
        <v>91</v>
      </c>
      <c r="B149" s="1" t="s">
        <v>110</v>
      </c>
      <c r="C149" s="1" t="s">
        <v>205</v>
      </c>
      <c r="D149" s="1" t="str">
        <f t="shared" si="11"/>
        <v>EL COPEYI.E. EL REPOSO</v>
      </c>
      <c r="E149" s="1" t="str">
        <f t="shared" si="9"/>
        <v xml:space="preserve"> </v>
      </c>
      <c r="F149" s="1" t="str">
        <f t="shared" si="10"/>
        <v xml:space="preserve"> </v>
      </c>
      <c r="AG149" s="16" t="s">
        <v>2001</v>
      </c>
      <c r="AH149" s="16">
        <v>146</v>
      </c>
      <c r="AJ149" s="16"/>
      <c r="AK149" s="16"/>
    </row>
    <row r="150" spans="1:37" x14ac:dyDescent="0.25">
      <c r="A150" s="1" t="s">
        <v>91</v>
      </c>
      <c r="B150" s="1" t="s">
        <v>110</v>
      </c>
      <c r="C150" s="1" t="s">
        <v>244</v>
      </c>
      <c r="D150" s="1" t="str">
        <f t="shared" si="11"/>
        <v>EL COPEYI.E. EL REPOSO</v>
      </c>
      <c r="E150" s="1" t="str">
        <f t="shared" si="9"/>
        <v xml:space="preserve"> </v>
      </c>
      <c r="F150" s="1" t="str">
        <f t="shared" si="10"/>
        <v xml:space="preserve"> </v>
      </c>
      <c r="AG150" s="16" t="s">
        <v>2002</v>
      </c>
      <c r="AH150" s="16">
        <v>147</v>
      </c>
      <c r="AJ150" s="16"/>
      <c r="AK150" s="16"/>
    </row>
    <row r="151" spans="1:37" x14ac:dyDescent="0.25">
      <c r="A151" s="1" t="s">
        <v>91</v>
      </c>
      <c r="B151" s="1" t="s">
        <v>110</v>
      </c>
      <c r="C151" s="1" t="s">
        <v>245</v>
      </c>
      <c r="D151" s="1" t="str">
        <f t="shared" si="11"/>
        <v>EL COPEYI.E. EL REPOSO</v>
      </c>
      <c r="E151" s="1" t="str">
        <f t="shared" si="9"/>
        <v xml:space="preserve"> </v>
      </c>
      <c r="F151" s="1" t="str">
        <f t="shared" si="10"/>
        <v xml:space="preserve"> </v>
      </c>
      <c r="AG151" s="16" t="s">
        <v>2003</v>
      </c>
      <c r="AH151" s="16">
        <v>148</v>
      </c>
      <c r="AJ151" s="16"/>
      <c r="AK151" s="16"/>
    </row>
    <row r="152" spans="1:37" x14ac:dyDescent="0.25">
      <c r="A152" s="1" t="s">
        <v>91</v>
      </c>
      <c r="B152" s="1" t="s">
        <v>110</v>
      </c>
      <c r="C152" s="1" t="s">
        <v>246</v>
      </c>
      <c r="D152" s="1" t="str">
        <f t="shared" si="11"/>
        <v>EL COPEYI.E. EL REPOSO</v>
      </c>
      <c r="E152" s="1" t="str">
        <f t="shared" ref="E152:E183" si="12">IF($D$24=D153,C153," ")</f>
        <v xml:space="preserve"> </v>
      </c>
      <c r="F152" s="1" t="str">
        <f t="shared" ref="F152:F183" si="13">TEXT(E152,"#")</f>
        <v xml:space="preserve"> </v>
      </c>
      <c r="AG152" s="16" t="s">
        <v>2004</v>
      </c>
      <c r="AH152" s="16">
        <v>149</v>
      </c>
      <c r="AJ152" s="16"/>
      <c r="AK152" s="16"/>
    </row>
    <row r="153" spans="1:37" x14ac:dyDescent="0.25">
      <c r="A153" s="1" t="s">
        <v>91</v>
      </c>
      <c r="B153" s="1" t="s">
        <v>110</v>
      </c>
      <c r="C153" s="1" t="s">
        <v>247</v>
      </c>
      <c r="D153" s="1" t="str">
        <f t="shared" ref="D153:D184" si="14">A153&amp;B153</f>
        <v>EL COPEYI.E. EL REPOSO</v>
      </c>
      <c r="E153" s="1" t="str">
        <f t="shared" si="12"/>
        <v xml:space="preserve"> </v>
      </c>
      <c r="F153" s="1" t="str">
        <f t="shared" si="13"/>
        <v xml:space="preserve"> </v>
      </c>
      <c r="AG153" s="16" t="s">
        <v>2005</v>
      </c>
      <c r="AH153" s="16">
        <v>150</v>
      </c>
      <c r="AJ153" s="16"/>
      <c r="AK153" s="16"/>
    </row>
    <row r="154" spans="1:37" x14ac:dyDescent="0.25">
      <c r="A154" s="1" t="s">
        <v>92</v>
      </c>
      <c r="B154" s="1" t="s">
        <v>111</v>
      </c>
      <c r="C154" s="1" t="s">
        <v>111</v>
      </c>
      <c r="D154" s="1" t="str">
        <f t="shared" si="14"/>
        <v>LA GLORIAC.E. SAN PABLO</v>
      </c>
      <c r="E154" s="1" t="str">
        <f t="shared" si="12"/>
        <v xml:space="preserve"> </v>
      </c>
      <c r="F154" s="1" t="str">
        <f t="shared" si="13"/>
        <v xml:space="preserve"> </v>
      </c>
      <c r="AG154" s="16" t="s">
        <v>2006</v>
      </c>
      <c r="AH154" s="16">
        <v>151</v>
      </c>
      <c r="AJ154" s="16"/>
      <c r="AK154" s="16"/>
    </row>
    <row r="155" spans="1:37" x14ac:dyDescent="0.25">
      <c r="A155" s="1" t="s">
        <v>92</v>
      </c>
      <c r="B155" s="1" t="s">
        <v>111</v>
      </c>
      <c r="C155" s="1" t="s">
        <v>133</v>
      </c>
      <c r="D155" s="1" t="str">
        <f t="shared" si="14"/>
        <v>LA GLORIAC.E. SAN PABLO</v>
      </c>
      <c r="E155" s="1" t="str">
        <f t="shared" si="12"/>
        <v xml:space="preserve"> </v>
      </c>
      <c r="F155" s="1" t="str">
        <f t="shared" si="13"/>
        <v xml:space="preserve"> </v>
      </c>
      <c r="AG155" s="16" t="s">
        <v>2007</v>
      </c>
      <c r="AH155" s="16">
        <v>152</v>
      </c>
      <c r="AJ155" s="16"/>
      <c r="AK155" s="16"/>
    </row>
    <row r="156" spans="1:37" x14ac:dyDescent="0.25">
      <c r="A156" s="1" t="s">
        <v>92</v>
      </c>
      <c r="B156" s="1" t="s">
        <v>111</v>
      </c>
      <c r="C156" s="1" t="s">
        <v>248</v>
      </c>
      <c r="D156" s="1" t="str">
        <f t="shared" si="14"/>
        <v>LA GLORIAC.E. SAN PABLO</v>
      </c>
      <c r="E156" s="1" t="str">
        <f t="shared" si="12"/>
        <v xml:space="preserve"> </v>
      </c>
      <c r="F156" s="1" t="str">
        <f t="shared" si="13"/>
        <v xml:space="preserve"> </v>
      </c>
      <c r="AG156" s="16" t="s">
        <v>2008</v>
      </c>
      <c r="AH156" s="16">
        <v>153</v>
      </c>
      <c r="AJ156" s="16"/>
      <c r="AK156" s="16"/>
    </row>
    <row r="157" spans="1:37" x14ac:dyDescent="0.25">
      <c r="A157" s="1" t="s">
        <v>92</v>
      </c>
      <c r="B157" s="1" t="s">
        <v>111</v>
      </c>
      <c r="C157" s="1" t="s">
        <v>249</v>
      </c>
      <c r="D157" s="1" t="str">
        <f t="shared" si="14"/>
        <v>LA GLORIAC.E. SAN PABLO</v>
      </c>
      <c r="E157" s="1" t="str">
        <f t="shared" si="12"/>
        <v xml:space="preserve"> </v>
      </c>
      <c r="F157" s="1" t="str">
        <f t="shared" si="13"/>
        <v xml:space="preserve"> </v>
      </c>
      <c r="AG157" s="16" t="s">
        <v>2009</v>
      </c>
      <c r="AH157" s="16">
        <v>154</v>
      </c>
      <c r="AJ157" s="16"/>
      <c r="AK157" s="16"/>
    </row>
    <row r="158" spans="1:37" x14ac:dyDescent="0.25">
      <c r="A158" s="1" t="s">
        <v>92</v>
      </c>
      <c r="B158" s="1" t="s">
        <v>111</v>
      </c>
      <c r="C158" s="1" t="s">
        <v>250</v>
      </c>
      <c r="D158" s="1" t="str">
        <f t="shared" si="14"/>
        <v>LA GLORIAC.E. SAN PABLO</v>
      </c>
      <c r="E158" s="1" t="str">
        <f t="shared" si="12"/>
        <v xml:space="preserve"> </v>
      </c>
      <c r="F158" s="1" t="str">
        <f t="shared" si="13"/>
        <v xml:space="preserve"> </v>
      </c>
      <c r="AG158" s="16" t="s">
        <v>2010</v>
      </c>
      <c r="AH158" s="16">
        <v>155</v>
      </c>
      <c r="AJ158" s="16"/>
      <c r="AK158" s="16"/>
    </row>
    <row r="159" spans="1:37" x14ac:dyDescent="0.25">
      <c r="A159" s="1" t="s">
        <v>92</v>
      </c>
      <c r="B159" s="1" t="s">
        <v>111</v>
      </c>
      <c r="C159" s="1" t="s">
        <v>251</v>
      </c>
      <c r="D159" s="1" t="str">
        <f t="shared" si="14"/>
        <v>LA GLORIAC.E. SAN PABLO</v>
      </c>
      <c r="E159" s="1" t="str">
        <f t="shared" si="12"/>
        <v xml:space="preserve"> </v>
      </c>
      <c r="F159" s="1" t="str">
        <f t="shared" si="13"/>
        <v xml:space="preserve"> </v>
      </c>
      <c r="AG159" s="16" t="s">
        <v>1417</v>
      </c>
      <c r="AH159" s="16">
        <v>156</v>
      </c>
      <c r="AJ159" s="16"/>
      <c r="AK159" s="16"/>
    </row>
    <row r="160" spans="1:37" x14ac:dyDescent="0.25">
      <c r="A160" s="1" t="s">
        <v>92</v>
      </c>
      <c r="B160" s="1" t="s">
        <v>111</v>
      </c>
      <c r="C160" s="1" t="s">
        <v>252</v>
      </c>
      <c r="D160" s="1" t="str">
        <f t="shared" si="14"/>
        <v>LA GLORIAC.E. SAN PABLO</v>
      </c>
      <c r="E160" s="1" t="str">
        <f t="shared" si="12"/>
        <v xml:space="preserve"> </v>
      </c>
      <c r="F160" s="1" t="str">
        <f t="shared" si="13"/>
        <v xml:space="preserve"> </v>
      </c>
      <c r="AG160" s="16" t="s">
        <v>2011</v>
      </c>
      <c r="AH160" s="16">
        <v>157</v>
      </c>
      <c r="AJ160" s="16"/>
      <c r="AK160" s="16"/>
    </row>
    <row r="161" spans="1:37" x14ac:dyDescent="0.25">
      <c r="A161" s="1" t="s">
        <v>92</v>
      </c>
      <c r="B161" s="1" t="s">
        <v>111</v>
      </c>
      <c r="C161" s="1" t="s">
        <v>253</v>
      </c>
      <c r="D161" s="1" t="str">
        <f t="shared" si="14"/>
        <v>LA GLORIAC.E. SAN PABLO</v>
      </c>
      <c r="E161" s="1" t="str">
        <f t="shared" si="12"/>
        <v xml:space="preserve"> </v>
      </c>
      <c r="F161" s="1" t="str">
        <f t="shared" si="13"/>
        <v xml:space="preserve"> </v>
      </c>
      <c r="AG161" s="16" t="s">
        <v>2012</v>
      </c>
      <c r="AH161" s="16">
        <v>158</v>
      </c>
      <c r="AJ161" s="16"/>
      <c r="AK161" s="16"/>
    </row>
    <row r="162" spans="1:37" x14ac:dyDescent="0.25">
      <c r="A162" s="1" t="s">
        <v>92</v>
      </c>
      <c r="B162" s="1" t="s">
        <v>111</v>
      </c>
      <c r="C162" s="1" t="s">
        <v>254</v>
      </c>
      <c r="D162" s="1" t="str">
        <f t="shared" si="14"/>
        <v>LA GLORIAC.E. SAN PABLO</v>
      </c>
      <c r="E162" s="1" t="str">
        <f t="shared" si="12"/>
        <v xml:space="preserve"> </v>
      </c>
      <c r="F162" s="1" t="str">
        <f t="shared" si="13"/>
        <v xml:space="preserve"> </v>
      </c>
      <c r="AG162" s="16" t="s">
        <v>2013</v>
      </c>
      <c r="AH162" s="16">
        <v>159</v>
      </c>
      <c r="AJ162" s="16"/>
      <c r="AK162" s="16"/>
    </row>
    <row r="163" spans="1:37" x14ac:dyDescent="0.25">
      <c r="A163" s="1" t="s">
        <v>93</v>
      </c>
      <c r="B163" s="1" t="s">
        <v>112</v>
      </c>
      <c r="C163" s="1" t="s">
        <v>112</v>
      </c>
      <c r="D163" s="1" t="str">
        <f t="shared" si="14"/>
        <v>LA JAGUA DE IBIRICOC.E. SAN ANTONIO</v>
      </c>
      <c r="E163" s="1" t="str">
        <f t="shared" si="12"/>
        <v xml:space="preserve"> </v>
      </c>
      <c r="F163" s="1" t="str">
        <f t="shared" si="13"/>
        <v xml:space="preserve"> </v>
      </c>
      <c r="AG163" s="16" t="s">
        <v>2014</v>
      </c>
      <c r="AH163" s="16">
        <v>160</v>
      </c>
      <c r="AJ163" s="16"/>
      <c r="AK163" s="16"/>
    </row>
    <row r="164" spans="1:37" x14ac:dyDescent="0.25">
      <c r="A164" s="1" t="s">
        <v>93</v>
      </c>
      <c r="B164" s="1" t="s">
        <v>112</v>
      </c>
      <c r="C164" s="1" t="s">
        <v>255</v>
      </c>
      <c r="D164" s="1" t="str">
        <f t="shared" si="14"/>
        <v>LA JAGUA DE IBIRICOC.E. SAN ANTONIO</v>
      </c>
      <c r="E164" s="1" t="str">
        <f t="shared" si="12"/>
        <v xml:space="preserve"> </v>
      </c>
      <c r="F164" s="1" t="str">
        <f t="shared" si="13"/>
        <v xml:space="preserve"> </v>
      </c>
      <c r="AG164" s="16" t="s">
        <v>2015</v>
      </c>
      <c r="AH164" s="16">
        <v>161</v>
      </c>
      <c r="AJ164" s="16"/>
      <c r="AK164" s="16"/>
    </row>
    <row r="165" spans="1:37" x14ac:dyDescent="0.25">
      <c r="A165" s="1" t="s">
        <v>93</v>
      </c>
      <c r="B165" s="1" t="s">
        <v>112</v>
      </c>
      <c r="C165" s="1" t="s">
        <v>256</v>
      </c>
      <c r="D165" s="1" t="str">
        <f t="shared" si="14"/>
        <v>LA JAGUA DE IBIRICOC.E. SAN ANTONIO</v>
      </c>
      <c r="E165" s="1" t="str">
        <f t="shared" si="12"/>
        <v xml:space="preserve"> </v>
      </c>
      <c r="F165" s="1" t="str">
        <f t="shared" si="13"/>
        <v xml:space="preserve"> </v>
      </c>
      <c r="AG165" s="16" t="s">
        <v>2016</v>
      </c>
      <c r="AH165" s="16">
        <v>162</v>
      </c>
      <c r="AJ165" s="16"/>
      <c r="AK165" s="16"/>
    </row>
    <row r="166" spans="1:37" x14ac:dyDescent="0.25">
      <c r="A166" s="1" t="s">
        <v>93</v>
      </c>
      <c r="B166" s="1" t="s">
        <v>112</v>
      </c>
      <c r="C166" s="1" t="s">
        <v>257</v>
      </c>
      <c r="D166" s="1" t="str">
        <f t="shared" si="14"/>
        <v>LA JAGUA DE IBIRICOC.E. SAN ANTONIO</v>
      </c>
      <c r="E166" s="1" t="str">
        <f t="shared" si="12"/>
        <v xml:space="preserve"> </v>
      </c>
      <c r="F166" s="1" t="str">
        <f t="shared" si="13"/>
        <v xml:space="preserve"> </v>
      </c>
      <c r="AG166" s="16" t="s">
        <v>2017</v>
      </c>
      <c r="AH166" s="16">
        <v>163</v>
      </c>
      <c r="AJ166" s="16"/>
      <c r="AK166" s="16"/>
    </row>
    <row r="167" spans="1:37" x14ac:dyDescent="0.25">
      <c r="A167" s="1" t="s">
        <v>93</v>
      </c>
      <c r="B167" s="1" t="s">
        <v>112</v>
      </c>
      <c r="C167" s="1" t="s">
        <v>258</v>
      </c>
      <c r="D167" s="1" t="str">
        <f t="shared" si="14"/>
        <v>LA JAGUA DE IBIRICOC.E. SAN ANTONIO</v>
      </c>
      <c r="E167" s="1" t="str">
        <f t="shared" si="12"/>
        <v xml:space="preserve"> </v>
      </c>
      <c r="F167" s="1" t="str">
        <f t="shared" si="13"/>
        <v xml:space="preserve"> </v>
      </c>
      <c r="AG167" s="16" t="s">
        <v>2018</v>
      </c>
      <c r="AH167" s="16">
        <v>164</v>
      </c>
      <c r="AJ167" s="16"/>
      <c r="AK167" s="16"/>
    </row>
    <row r="168" spans="1:37" x14ac:dyDescent="0.25">
      <c r="A168" s="1" t="s">
        <v>93</v>
      </c>
      <c r="B168" s="1" t="s">
        <v>112</v>
      </c>
      <c r="C168" s="1" t="s">
        <v>259</v>
      </c>
      <c r="D168" s="1" t="str">
        <f t="shared" si="14"/>
        <v>LA JAGUA DE IBIRICOC.E. SAN ANTONIO</v>
      </c>
      <c r="E168" s="1" t="str">
        <f t="shared" si="12"/>
        <v xml:space="preserve"> </v>
      </c>
      <c r="F168" s="1" t="str">
        <f t="shared" si="13"/>
        <v xml:space="preserve"> </v>
      </c>
      <c r="AG168" s="16" t="s">
        <v>2019</v>
      </c>
      <c r="AH168" s="16">
        <v>165</v>
      </c>
      <c r="AJ168" s="16"/>
      <c r="AK168" s="16"/>
    </row>
    <row r="169" spans="1:37" x14ac:dyDescent="0.25">
      <c r="A169" s="1" t="s">
        <v>93</v>
      </c>
      <c r="B169" s="1" t="s">
        <v>112</v>
      </c>
      <c r="C169" s="1" t="s">
        <v>177</v>
      </c>
      <c r="D169" s="1" t="str">
        <f t="shared" si="14"/>
        <v>LA JAGUA DE IBIRICOC.E. SAN ANTONIO</v>
      </c>
      <c r="E169" s="1" t="str">
        <f t="shared" si="12"/>
        <v xml:space="preserve"> </v>
      </c>
      <c r="F169" s="1" t="str">
        <f t="shared" si="13"/>
        <v xml:space="preserve"> </v>
      </c>
      <c r="AG169" s="16" t="s">
        <v>2020</v>
      </c>
      <c r="AH169" s="16">
        <v>166</v>
      </c>
      <c r="AJ169" s="16"/>
      <c r="AK169" s="16"/>
    </row>
    <row r="170" spans="1:37" x14ac:dyDescent="0.25">
      <c r="A170" s="1" t="s">
        <v>93</v>
      </c>
      <c r="B170" s="1" t="s">
        <v>112</v>
      </c>
      <c r="C170" s="1" t="s">
        <v>260</v>
      </c>
      <c r="D170" s="1" t="str">
        <f t="shared" si="14"/>
        <v>LA JAGUA DE IBIRICOC.E. SAN ANTONIO</v>
      </c>
      <c r="E170" s="1" t="str">
        <f t="shared" si="12"/>
        <v xml:space="preserve"> </v>
      </c>
      <c r="F170" s="1" t="str">
        <f t="shared" si="13"/>
        <v xml:space="preserve"> </v>
      </c>
      <c r="AG170" s="16" t="s">
        <v>2021</v>
      </c>
      <c r="AH170" s="16">
        <v>167</v>
      </c>
      <c r="AJ170" s="16"/>
      <c r="AK170" s="16"/>
    </row>
    <row r="171" spans="1:37" x14ac:dyDescent="0.25">
      <c r="A171" s="1" t="s">
        <v>93</v>
      </c>
      <c r="B171" s="1" t="s">
        <v>112</v>
      </c>
      <c r="C171" s="1" t="s">
        <v>261</v>
      </c>
      <c r="D171" s="1" t="str">
        <f t="shared" si="14"/>
        <v>LA JAGUA DE IBIRICOC.E. SAN ANTONIO</v>
      </c>
      <c r="E171" s="1" t="str">
        <f t="shared" si="12"/>
        <v xml:space="preserve"> </v>
      </c>
      <c r="F171" s="1" t="str">
        <f t="shared" si="13"/>
        <v xml:space="preserve"> </v>
      </c>
      <c r="AG171" s="16" t="s">
        <v>2022</v>
      </c>
      <c r="AH171" s="16">
        <v>168</v>
      </c>
      <c r="AJ171" s="16"/>
      <c r="AK171" s="16"/>
    </row>
    <row r="172" spans="1:37" x14ac:dyDescent="0.25">
      <c r="A172" s="1" t="s">
        <v>93</v>
      </c>
      <c r="B172" s="1" t="s">
        <v>112</v>
      </c>
      <c r="C172" s="1" t="s">
        <v>262</v>
      </c>
      <c r="D172" s="1" t="str">
        <f t="shared" si="14"/>
        <v>LA JAGUA DE IBIRICOC.E. SAN ANTONIO</v>
      </c>
      <c r="E172" s="1" t="str">
        <f t="shared" si="12"/>
        <v xml:space="preserve"> </v>
      </c>
      <c r="F172" s="1" t="str">
        <f t="shared" si="13"/>
        <v xml:space="preserve"> </v>
      </c>
      <c r="AG172" s="16" t="s">
        <v>2023</v>
      </c>
      <c r="AH172" s="16">
        <v>169</v>
      </c>
      <c r="AJ172" s="16"/>
      <c r="AK172" s="16"/>
    </row>
    <row r="173" spans="1:37" x14ac:dyDescent="0.25">
      <c r="A173" s="1" t="s">
        <v>93</v>
      </c>
      <c r="B173" s="1" t="s">
        <v>112</v>
      </c>
      <c r="C173" s="1" t="s">
        <v>263</v>
      </c>
      <c r="D173" s="1" t="str">
        <f t="shared" si="14"/>
        <v>LA JAGUA DE IBIRICOC.E. SAN ANTONIO</v>
      </c>
      <c r="E173" s="1" t="str">
        <f t="shared" si="12"/>
        <v xml:space="preserve"> </v>
      </c>
      <c r="F173" s="1" t="str">
        <f t="shared" si="13"/>
        <v xml:space="preserve"> </v>
      </c>
      <c r="AG173" s="16" t="s">
        <v>2024</v>
      </c>
      <c r="AH173" s="16">
        <v>170</v>
      </c>
      <c r="AJ173" s="16"/>
      <c r="AK173" s="16"/>
    </row>
    <row r="174" spans="1:37" x14ac:dyDescent="0.25">
      <c r="A174" s="1" t="s">
        <v>93</v>
      </c>
      <c r="B174" s="1" t="s">
        <v>112</v>
      </c>
      <c r="C174" s="1" t="s">
        <v>264</v>
      </c>
      <c r="D174" s="1" t="str">
        <f t="shared" si="14"/>
        <v>LA JAGUA DE IBIRICOC.E. SAN ANTONIO</v>
      </c>
      <c r="E174" s="1" t="str">
        <f t="shared" si="12"/>
        <v xml:space="preserve"> </v>
      </c>
      <c r="F174" s="1" t="str">
        <f t="shared" si="13"/>
        <v xml:space="preserve"> </v>
      </c>
      <c r="AG174" s="16" t="s">
        <v>2025</v>
      </c>
      <c r="AH174" s="16">
        <v>171</v>
      </c>
      <c r="AJ174" s="16"/>
      <c r="AK174" s="16"/>
    </row>
    <row r="175" spans="1:37" x14ac:dyDescent="0.25">
      <c r="A175" s="1" t="s">
        <v>93</v>
      </c>
      <c r="B175" s="1" t="s">
        <v>112</v>
      </c>
      <c r="C175" s="1" t="s">
        <v>265</v>
      </c>
      <c r="D175" s="1" t="str">
        <f t="shared" si="14"/>
        <v>LA JAGUA DE IBIRICOC.E. SAN ANTONIO</v>
      </c>
      <c r="E175" s="1" t="str">
        <f t="shared" si="12"/>
        <v xml:space="preserve"> </v>
      </c>
      <c r="F175" s="1" t="str">
        <f t="shared" si="13"/>
        <v xml:space="preserve"> </v>
      </c>
      <c r="AG175" s="16" t="s">
        <v>2026</v>
      </c>
      <c r="AH175" s="16">
        <v>172</v>
      </c>
      <c r="AJ175" s="16"/>
      <c r="AK175" s="16"/>
    </row>
    <row r="176" spans="1:37" x14ac:dyDescent="0.25">
      <c r="A176" s="1" t="s">
        <v>93</v>
      </c>
      <c r="B176" s="1" t="s">
        <v>112</v>
      </c>
      <c r="C176" s="1" t="s">
        <v>201</v>
      </c>
      <c r="D176" s="1" t="str">
        <f t="shared" si="14"/>
        <v>LA JAGUA DE IBIRICOC.E. SAN ANTONIO</v>
      </c>
      <c r="E176" s="1" t="str">
        <f t="shared" si="12"/>
        <v xml:space="preserve"> </v>
      </c>
      <c r="F176" s="1" t="str">
        <f t="shared" si="13"/>
        <v xml:space="preserve"> </v>
      </c>
      <c r="AG176" s="16" t="s">
        <v>2027</v>
      </c>
      <c r="AH176" s="16">
        <v>173</v>
      </c>
      <c r="AJ176" s="16"/>
      <c r="AK176" s="16"/>
    </row>
    <row r="177" spans="1:37" x14ac:dyDescent="0.25">
      <c r="A177" s="1" t="s">
        <v>93</v>
      </c>
      <c r="B177" s="1" t="s">
        <v>112</v>
      </c>
      <c r="C177" s="1" t="s">
        <v>266</v>
      </c>
      <c r="D177" s="1" t="str">
        <f t="shared" si="14"/>
        <v>LA JAGUA DE IBIRICOC.E. SAN ANTONIO</v>
      </c>
      <c r="E177" s="1" t="str">
        <f t="shared" si="12"/>
        <v xml:space="preserve"> </v>
      </c>
      <c r="F177" s="1" t="str">
        <f t="shared" si="13"/>
        <v xml:space="preserve"> </v>
      </c>
      <c r="AG177" s="16" t="s">
        <v>2028</v>
      </c>
      <c r="AH177" s="16">
        <v>174</v>
      </c>
      <c r="AJ177" s="16"/>
      <c r="AK177" s="16"/>
    </row>
    <row r="178" spans="1:37" x14ac:dyDescent="0.25">
      <c r="A178" s="1" t="s">
        <v>93</v>
      </c>
      <c r="B178" s="1" t="s">
        <v>112</v>
      </c>
      <c r="C178" s="1" t="s">
        <v>267</v>
      </c>
      <c r="D178" s="1" t="str">
        <f t="shared" si="14"/>
        <v>LA JAGUA DE IBIRICOC.E. SAN ANTONIO</v>
      </c>
      <c r="E178" s="1" t="str">
        <f t="shared" si="12"/>
        <v xml:space="preserve"> </v>
      </c>
      <c r="F178" s="1" t="str">
        <f t="shared" si="13"/>
        <v xml:space="preserve"> </v>
      </c>
      <c r="AG178" s="16" t="s">
        <v>2029</v>
      </c>
      <c r="AH178" s="16">
        <v>175</v>
      </c>
      <c r="AJ178" s="16"/>
      <c r="AK178" s="16"/>
    </row>
    <row r="179" spans="1:37" x14ac:dyDescent="0.25">
      <c r="A179" s="1" t="s">
        <v>93</v>
      </c>
      <c r="B179" s="1" t="s">
        <v>112</v>
      </c>
      <c r="C179" s="1" t="s">
        <v>268</v>
      </c>
      <c r="D179" s="1" t="str">
        <f t="shared" si="14"/>
        <v>LA JAGUA DE IBIRICOC.E. SAN ANTONIO</v>
      </c>
      <c r="E179" s="1" t="str">
        <f t="shared" si="12"/>
        <v xml:space="preserve"> </v>
      </c>
      <c r="F179" s="1" t="str">
        <f t="shared" si="13"/>
        <v xml:space="preserve"> </v>
      </c>
      <c r="AG179" s="16" t="s">
        <v>2030</v>
      </c>
      <c r="AH179" s="16">
        <v>176</v>
      </c>
      <c r="AJ179" s="16"/>
      <c r="AK179" s="16"/>
    </row>
    <row r="180" spans="1:37" x14ac:dyDescent="0.25">
      <c r="A180" s="1" t="s">
        <v>93</v>
      </c>
      <c r="B180" s="1" t="s">
        <v>112</v>
      </c>
      <c r="C180" s="1" t="s">
        <v>269</v>
      </c>
      <c r="D180" s="1" t="str">
        <f t="shared" si="14"/>
        <v>LA JAGUA DE IBIRICOC.E. SAN ANTONIO</v>
      </c>
      <c r="E180" s="1" t="str">
        <f t="shared" si="12"/>
        <v xml:space="preserve"> </v>
      </c>
      <c r="F180" s="1" t="str">
        <f t="shared" si="13"/>
        <v xml:space="preserve"> </v>
      </c>
      <c r="AG180" s="16" t="s">
        <v>2031</v>
      </c>
      <c r="AH180" s="16">
        <v>177</v>
      </c>
      <c r="AJ180" s="16"/>
      <c r="AK180" s="16"/>
    </row>
    <row r="181" spans="1:37" x14ac:dyDescent="0.25">
      <c r="A181" s="1" t="s">
        <v>93</v>
      </c>
      <c r="B181" s="1" t="s">
        <v>112</v>
      </c>
      <c r="C181" s="1" t="s">
        <v>270</v>
      </c>
      <c r="D181" s="1" t="str">
        <f t="shared" si="14"/>
        <v>LA JAGUA DE IBIRICOC.E. SAN ANTONIO</v>
      </c>
      <c r="E181" s="1" t="str">
        <f t="shared" si="12"/>
        <v xml:space="preserve"> </v>
      </c>
      <c r="F181" s="1" t="str">
        <f t="shared" si="13"/>
        <v xml:space="preserve"> </v>
      </c>
      <c r="AG181" s="16" t="s">
        <v>2032</v>
      </c>
      <c r="AH181" s="16">
        <v>178</v>
      </c>
      <c r="AJ181" s="16"/>
      <c r="AK181" s="16"/>
    </row>
    <row r="182" spans="1:37" x14ac:dyDescent="0.25">
      <c r="A182" s="1" t="s">
        <v>93</v>
      </c>
      <c r="B182" s="1" t="s">
        <v>112</v>
      </c>
      <c r="C182" s="1" t="s">
        <v>271</v>
      </c>
      <c r="D182" s="1" t="str">
        <f t="shared" si="14"/>
        <v>LA JAGUA DE IBIRICOC.E. SAN ANTONIO</v>
      </c>
      <c r="E182" s="1" t="str">
        <f t="shared" si="12"/>
        <v xml:space="preserve"> </v>
      </c>
      <c r="F182" s="1" t="str">
        <f t="shared" si="13"/>
        <v xml:space="preserve"> </v>
      </c>
      <c r="AG182" s="16" t="s">
        <v>2033</v>
      </c>
      <c r="AH182" s="16">
        <v>179</v>
      </c>
      <c r="AJ182" s="16"/>
      <c r="AK182" s="16"/>
    </row>
    <row r="183" spans="1:37" x14ac:dyDescent="0.25">
      <c r="A183" s="1" t="s">
        <v>93</v>
      </c>
      <c r="B183" s="1" t="s">
        <v>112</v>
      </c>
      <c r="C183" s="1" t="s">
        <v>272</v>
      </c>
      <c r="D183" s="1" t="str">
        <f t="shared" si="14"/>
        <v>LA JAGUA DE IBIRICOC.E. SAN ANTONIO</v>
      </c>
      <c r="E183" s="1" t="str">
        <f t="shared" si="12"/>
        <v xml:space="preserve"> </v>
      </c>
      <c r="F183" s="1" t="str">
        <f t="shared" si="13"/>
        <v xml:space="preserve"> </v>
      </c>
      <c r="AG183" s="16" t="s">
        <v>2034</v>
      </c>
      <c r="AH183" s="16">
        <v>180</v>
      </c>
      <c r="AJ183" s="16"/>
      <c r="AK183" s="16"/>
    </row>
    <row r="184" spans="1:37" x14ac:dyDescent="0.25">
      <c r="A184" s="1" t="s">
        <v>93</v>
      </c>
      <c r="B184" s="1" t="s">
        <v>112</v>
      </c>
      <c r="C184" s="1" t="s">
        <v>273</v>
      </c>
      <c r="D184" s="1" t="str">
        <f t="shared" si="14"/>
        <v>LA JAGUA DE IBIRICOC.E. SAN ANTONIO</v>
      </c>
      <c r="E184" s="1" t="str">
        <f t="shared" ref="E184:E217" si="15">IF($D$24=D185,C185," ")</f>
        <v xml:space="preserve"> </v>
      </c>
      <c r="F184" s="1" t="str">
        <f t="shared" ref="F184:F215" si="16">TEXT(E184,"#")</f>
        <v xml:space="preserve"> </v>
      </c>
      <c r="AG184" s="16" t="s">
        <v>2035</v>
      </c>
      <c r="AH184" s="16">
        <v>181</v>
      </c>
      <c r="AJ184" s="16"/>
      <c r="AK184" s="16"/>
    </row>
    <row r="185" spans="1:37" x14ac:dyDescent="0.25">
      <c r="A185" s="1" t="s">
        <v>94</v>
      </c>
      <c r="B185" s="1" t="s">
        <v>113</v>
      </c>
      <c r="C185" s="1" t="s">
        <v>113</v>
      </c>
      <c r="D185" s="1" t="str">
        <f t="shared" ref="D185:D217" si="17">A185&amp;B185</f>
        <v>PAILITASC.E. RAYA GRANDE</v>
      </c>
      <c r="E185" s="1" t="str">
        <f t="shared" si="15"/>
        <v xml:space="preserve"> </v>
      </c>
      <c r="F185" s="1" t="str">
        <f t="shared" si="16"/>
        <v xml:space="preserve"> </v>
      </c>
      <c r="AG185" s="16" t="s">
        <v>2036</v>
      </c>
      <c r="AH185" s="16">
        <v>182</v>
      </c>
      <c r="AJ185" s="16"/>
      <c r="AK185" s="16"/>
    </row>
    <row r="186" spans="1:37" x14ac:dyDescent="0.25">
      <c r="A186" s="1" t="s">
        <v>94</v>
      </c>
      <c r="B186" s="1" t="s">
        <v>113</v>
      </c>
      <c r="C186" s="1" t="s">
        <v>274</v>
      </c>
      <c r="D186" s="1" t="str">
        <f t="shared" si="17"/>
        <v>PAILITASC.E. RAYA GRANDE</v>
      </c>
      <c r="E186" s="1" t="str">
        <f t="shared" si="15"/>
        <v xml:space="preserve"> </v>
      </c>
      <c r="F186" s="1" t="str">
        <f t="shared" si="16"/>
        <v xml:space="preserve"> </v>
      </c>
      <c r="AG186" s="16" t="s">
        <v>2037</v>
      </c>
      <c r="AH186" s="16">
        <v>183</v>
      </c>
      <c r="AJ186" s="16"/>
      <c r="AK186" s="16"/>
    </row>
    <row r="187" spans="1:37" x14ac:dyDescent="0.25">
      <c r="A187" s="1" t="s">
        <v>94</v>
      </c>
      <c r="B187" s="1" t="s">
        <v>113</v>
      </c>
      <c r="C187" s="1" t="s">
        <v>275</v>
      </c>
      <c r="D187" s="1" t="str">
        <f t="shared" si="17"/>
        <v>PAILITASC.E. RAYA GRANDE</v>
      </c>
      <c r="E187" s="1" t="str">
        <f t="shared" si="15"/>
        <v xml:space="preserve"> </v>
      </c>
      <c r="F187" s="1" t="str">
        <f t="shared" si="16"/>
        <v xml:space="preserve"> </v>
      </c>
      <c r="AG187" s="16" t="s">
        <v>2038</v>
      </c>
      <c r="AH187" s="16">
        <v>184</v>
      </c>
      <c r="AJ187" s="16"/>
      <c r="AK187" s="16"/>
    </row>
    <row r="188" spans="1:37" x14ac:dyDescent="0.25">
      <c r="A188" s="1" t="s">
        <v>94</v>
      </c>
      <c r="B188" s="1" t="s">
        <v>113</v>
      </c>
      <c r="C188" s="1" t="s">
        <v>276</v>
      </c>
      <c r="D188" s="1" t="str">
        <f t="shared" si="17"/>
        <v>PAILITASC.E. RAYA GRANDE</v>
      </c>
      <c r="E188" s="1" t="str">
        <f t="shared" si="15"/>
        <v xml:space="preserve"> </v>
      </c>
      <c r="F188" s="1" t="str">
        <f t="shared" si="16"/>
        <v xml:space="preserve"> </v>
      </c>
      <c r="AG188" s="16" t="s">
        <v>2039</v>
      </c>
      <c r="AH188" s="16">
        <v>185</v>
      </c>
      <c r="AJ188" s="16"/>
      <c r="AK188" s="16"/>
    </row>
    <row r="189" spans="1:37" x14ac:dyDescent="0.25">
      <c r="A189" s="1" t="s">
        <v>94</v>
      </c>
      <c r="B189" s="1" t="s">
        <v>113</v>
      </c>
      <c r="C189" s="1" t="s">
        <v>277</v>
      </c>
      <c r="D189" s="1" t="str">
        <f t="shared" si="17"/>
        <v>PAILITASC.E. RAYA GRANDE</v>
      </c>
      <c r="E189" s="1" t="str">
        <f t="shared" si="15"/>
        <v xml:space="preserve"> </v>
      </c>
      <c r="F189" s="1" t="str">
        <f t="shared" si="16"/>
        <v xml:space="preserve"> </v>
      </c>
      <c r="AG189" s="16" t="s">
        <v>2040</v>
      </c>
      <c r="AH189" s="16">
        <v>186</v>
      </c>
      <c r="AJ189" s="16"/>
      <c r="AK189" s="16"/>
    </row>
    <row r="190" spans="1:37" x14ac:dyDescent="0.25">
      <c r="A190" s="1" t="s">
        <v>94</v>
      </c>
      <c r="B190" s="1" t="s">
        <v>113</v>
      </c>
      <c r="C190" s="1" t="s">
        <v>153</v>
      </c>
      <c r="D190" s="1" t="str">
        <f t="shared" si="17"/>
        <v>PAILITASC.E. RAYA GRANDE</v>
      </c>
      <c r="E190" s="1" t="str">
        <f t="shared" si="15"/>
        <v xml:space="preserve"> </v>
      </c>
      <c r="F190" s="1" t="str">
        <f t="shared" si="16"/>
        <v xml:space="preserve"> </v>
      </c>
      <c r="AG190" s="16" t="s">
        <v>2041</v>
      </c>
      <c r="AH190" s="16">
        <v>187</v>
      </c>
      <c r="AJ190" s="16"/>
      <c r="AK190" s="16"/>
    </row>
    <row r="191" spans="1:37" x14ac:dyDescent="0.25">
      <c r="A191" s="1" t="s">
        <v>94</v>
      </c>
      <c r="B191" s="1" t="s">
        <v>113</v>
      </c>
      <c r="C191" s="1" t="s">
        <v>278</v>
      </c>
      <c r="D191" s="1" t="str">
        <f t="shared" si="17"/>
        <v>PAILITASC.E. RAYA GRANDE</v>
      </c>
      <c r="E191" s="1" t="str">
        <f t="shared" si="15"/>
        <v xml:space="preserve"> </v>
      </c>
      <c r="F191" s="1" t="str">
        <f t="shared" si="16"/>
        <v xml:space="preserve"> </v>
      </c>
      <c r="AG191" s="16" t="s">
        <v>2042</v>
      </c>
      <c r="AH191" s="16">
        <v>188</v>
      </c>
      <c r="AJ191" s="16"/>
      <c r="AK191" s="16"/>
    </row>
    <row r="192" spans="1:37" x14ac:dyDescent="0.25">
      <c r="A192" s="1" t="s">
        <v>94</v>
      </c>
      <c r="B192" s="1" t="s">
        <v>113</v>
      </c>
      <c r="C192" s="1" t="s">
        <v>279</v>
      </c>
      <c r="D192" s="1" t="str">
        <f t="shared" si="17"/>
        <v>PAILITASC.E. RAYA GRANDE</v>
      </c>
      <c r="E192" s="1" t="str">
        <f t="shared" si="15"/>
        <v xml:space="preserve"> </v>
      </c>
      <c r="F192" s="1" t="str">
        <f t="shared" si="16"/>
        <v xml:space="preserve"> </v>
      </c>
      <c r="AG192" s="16" t="s">
        <v>2043</v>
      </c>
      <c r="AH192" s="16">
        <v>189</v>
      </c>
      <c r="AJ192" s="16"/>
      <c r="AK192" s="16"/>
    </row>
    <row r="193" spans="1:37" x14ac:dyDescent="0.25">
      <c r="A193" s="1" t="s">
        <v>94</v>
      </c>
      <c r="B193" s="1" t="s">
        <v>113</v>
      </c>
      <c r="C193" s="1" t="s">
        <v>280</v>
      </c>
      <c r="D193" s="1" t="str">
        <f t="shared" si="17"/>
        <v>PAILITASC.E. RAYA GRANDE</v>
      </c>
      <c r="E193" s="1" t="str">
        <f t="shared" si="15"/>
        <v xml:space="preserve"> </v>
      </c>
      <c r="F193" s="1" t="str">
        <f t="shared" si="16"/>
        <v xml:space="preserve"> </v>
      </c>
      <c r="AG193" s="16" t="s">
        <v>2044</v>
      </c>
      <c r="AH193" s="16">
        <v>190</v>
      </c>
      <c r="AJ193" s="16"/>
      <c r="AK193" s="16"/>
    </row>
    <row r="194" spans="1:37" x14ac:dyDescent="0.25">
      <c r="A194" s="1" t="s">
        <v>94</v>
      </c>
      <c r="B194" s="1" t="s">
        <v>113</v>
      </c>
      <c r="C194" s="1" t="s">
        <v>145</v>
      </c>
      <c r="D194" s="1" t="str">
        <f t="shared" si="17"/>
        <v>PAILITASC.E. RAYA GRANDE</v>
      </c>
      <c r="E194" s="1" t="str">
        <f t="shared" si="15"/>
        <v xml:space="preserve"> </v>
      </c>
      <c r="F194" s="1" t="str">
        <f t="shared" si="16"/>
        <v xml:space="preserve"> </v>
      </c>
      <c r="AG194" s="16" t="s">
        <v>2045</v>
      </c>
      <c r="AH194" s="16">
        <v>191</v>
      </c>
      <c r="AJ194" s="16"/>
      <c r="AK194" s="16"/>
    </row>
    <row r="195" spans="1:37" x14ac:dyDescent="0.25">
      <c r="A195" s="1" t="s">
        <v>94</v>
      </c>
      <c r="B195" s="1" t="s">
        <v>113</v>
      </c>
      <c r="C195" s="1" t="s">
        <v>281</v>
      </c>
      <c r="D195" s="1" t="str">
        <f t="shared" si="17"/>
        <v>PAILITASC.E. RAYA GRANDE</v>
      </c>
      <c r="E195" s="1" t="str">
        <f t="shared" si="15"/>
        <v xml:space="preserve"> </v>
      </c>
      <c r="F195" s="1" t="str">
        <f t="shared" si="16"/>
        <v xml:space="preserve"> </v>
      </c>
      <c r="AG195" s="16" t="s">
        <v>2046</v>
      </c>
      <c r="AH195" s="16">
        <v>192</v>
      </c>
      <c r="AJ195" s="16"/>
      <c r="AK195" s="16"/>
    </row>
    <row r="196" spans="1:37" x14ac:dyDescent="0.25">
      <c r="A196" s="1" t="s">
        <v>95</v>
      </c>
      <c r="B196" s="1" t="s">
        <v>114</v>
      </c>
      <c r="C196" s="1" t="s">
        <v>114</v>
      </c>
      <c r="D196" s="1" t="str">
        <f t="shared" si="17"/>
        <v>PELAYAC.E. BELLA VISTA</v>
      </c>
      <c r="E196" s="1" t="str">
        <f t="shared" si="15"/>
        <v xml:space="preserve"> </v>
      </c>
      <c r="F196" s="1" t="str">
        <f t="shared" si="16"/>
        <v xml:space="preserve"> </v>
      </c>
      <c r="AG196" s="16" t="s">
        <v>2047</v>
      </c>
      <c r="AH196" s="16">
        <v>193</v>
      </c>
      <c r="AJ196" s="16"/>
      <c r="AK196" s="16"/>
    </row>
    <row r="197" spans="1:37" x14ac:dyDescent="0.25">
      <c r="A197" s="1" t="s">
        <v>95</v>
      </c>
      <c r="B197" s="1" t="s">
        <v>114</v>
      </c>
      <c r="C197" s="1" t="s">
        <v>282</v>
      </c>
      <c r="D197" s="1" t="str">
        <f t="shared" si="17"/>
        <v>PELAYAC.E. BELLA VISTA</v>
      </c>
      <c r="E197" s="1" t="str">
        <f t="shared" si="15"/>
        <v xml:space="preserve"> </v>
      </c>
      <c r="F197" s="1" t="str">
        <f t="shared" si="16"/>
        <v xml:space="preserve"> </v>
      </c>
      <c r="AG197" s="16" t="s">
        <v>2048</v>
      </c>
      <c r="AH197" s="16">
        <v>194</v>
      </c>
      <c r="AJ197" s="16"/>
      <c r="AK197" s="16"/>
    </row>
    <row r="198" spans="1:37" x14ac:dyDescent="0.25">
      <c r="A198" s="1" t="s">
        <v>95</v>
      </c>
      <c r="B198" s="1" t="s">
        <v>114</v>
      </c>
      <c r="C198" s="1" t="s">
        <v>283</v>
      </c>
      <c r="D198" s="1" t="str">
        <f t="shared" si="17"/>
        <v>PELAYAC.E. BELLA VISTA</v>
      </c>
      <c r="E198" s="1" t="str">
        <f t="shared" si="15"/>
        <v xml:space="preserve"> </v>
      </c>
      <c r="F198" s="1" t="str">
        <f t="shared" si="16"/>
        <v xml:space="preserve"> </v>
      </c>
      <c r="AG198" s="16" t="s">
        <v>2049</v>
      </c>
      <c r="AH198" s="16">
        <v>195</v>
      </c>
      <c r="AJ198" s="16"/>
      <c r="AK198" s="16"/>
    </row>
    <row r="199" spans="1:37" x14ac:dyDescent="0.25">
      <c r="A199" s="1" t="s">
        <v>95</v>
      </c>
      <c r="B199" s="1" t="s">
        <v>114</v>
      </c>
      <c r="C199" s="1" t="s">
        <v>284</v>
      </c>
      <c r="D199" s="1" t="str">
        <f t="shared" si="17"/>
        <v>PELAYAC.E. BELLA VISTA</v>
      </c>
      <c r="E199" s="1" t="str">
        <f t="shared" si="15"/>
        <v xml:space="preserve"> </v>
      </c>
      <c r="F199" s="1" t="str">
        <f t="shared" si="16"/>
        <v xml:space="preserve"> </v>
      </c>
      <c r="AG199" s="16" t="s">
        <v>2050</v>
      </c>
      <c r="AH199" s="16">
        <v>196</v>
      </c>
      <c r="AJ199" s="16"/>
      <c r="AK199" s="16"/>
    </row>
    <row r="200" spans="1:37" x14ac:dyDescent="0.25">
      <c r="A200" s="1" t="s">
        <v>95</v>
      </c>
      <c r="B200" s="1" t="s">
        <v>114</v>
      </c>
      <c r="C200" s="1" t="s">
        <v>285</v>
      </c>
      <c r="D200" s="1" t="str">
        <f t="shared" si="17"/>
        <v>PELAYAC.E. BELLA VISTA</v>
      </c>
      <c r="E200" s="1" t="str">
        <f t="shared" si="15"/>
        <v xml:space="preserve"> </v>
      </c>
      <c r="F200" s="1" t="str">
        <f t="shared" si="16"/>
        <v xml:space="preserve"> </v>
      </c>
      <c r="AG200" s="16" t="s">
        <v>1111</v>
      </c>
      <c r="AH200" s="16">
        <v>197</v>
      </c>
      <c r="AJ200" s="16"/>
      <c r="AK200" s="16"/>
    </row>
    <row r="201" spans="1:37" x14ac:dyDescent="0.25">
      <c r="A201" s="1" t="s">
        <v>95</v>
      </c>
      <c r="B201" s="1" t="s">
        <v>114</v>
      </c>
      <c r="C201" s="1" t="s">
        <v>286</v>
      </c>
      <c r="D201" s="1" t="str">
        <f t="shared" si="17"/>
        <v>PELAYAC.E. BELLA VISTA</v>
      </c>
      <c r="E201" s="1" t="str">
        <f t="shared" si="15"/>
        <v xml:space="preserve"> </v>
      </c>
      <c r="F201" s="1" t="str">
        <f t="shared" si="16"/>
        <v xml:space="preserve"> </v>
      </c>
      <c r="AG201" s="16" t="s">
        <v>2051</v>
      </c>
      <c r="AH201" s="16">
        <v>198</v>
      </c>
      <c r="AJ201" s="16"/>
      <c r="AK201" s="16"/>
    </row>
    <row r="202" spans="1:37" x14ac:dyDescent="0.25">
      <c r="A202" s="1" t="s">
        <v>96</v>
      </c>
      <c r="B202" s="1" t="s">
        <v>115</v>
      </c>
      <c r="C202" s="1" t="s">
        <v>115</v>
      </c>
      <c r="D202" s="1" t="str">
        <f t="shared" si="17"/>
        <v>PUEBLO BELLOC.E. MARQUETALIA</v>
      </c>
      <c r="E202" s="1" t="str">
        <f t="shared" si="15"/>
        <v xml:space="preserve"> </v>
      </c>
      <c r="F202" s="1" t="str">
        <f t="shared" si="16"/>
        <v xml:space="preserve"> </v>
      </c>
      <c r="AG202" s="16" t="s">
        <v>2052</v>
      </c>
      <c r="AH202" s="16">
        <v>199</v>
      </c>
      <c r="AJ202" s="16"/>
      <c r="AK202" s="16"/>
    </row>
    <row r="203" spans="1:37" x14ac:dyDescent="0.25">
      <c r="A203" s="1" t="s">
        <v>96</v>
      </c>
      <c r="B203" s="1" t="s">
        <v>115</v>
      </c>
      <c r="C203" s="1" t="s">
        <v>287</v>
      </c>
      <c r="D203" s="1" t="str">
        <f t="shared" si="17"/>
        <v>PUEBLO BELLOC.E. MARQUETALIA</v>
      </c>
      <c r="E203" s="1" t="str">
        <f t="shared" si="15"/>
        <v xml:space="preserve"> </v>
      </c>
      <c r="F203" s="1" t="str">
        <f t="shared" si="16"/>
        <v xml:space="preserve"> </v>
      </c>
      <c r="AG203" s="16" t="s">
        <v>2053</v>
      </c>
      <c r="AH203" s="16">
        <v>200</v>
      </c>
      <c r="AJ203" s="16"/>
      <c r="AK203" s="16"/>
    </row>
    <row r="204" spans="1:37" x14ac:dyDescent="0.25">
      <c r="A204" s="1" t="s">
        <v>96</v>
      </c>
      <c r="B204" s="1" t="s">
        <v>115</v>
      </c>
      <c r="C204" s="1" t="s">
        <v>288</v>
      </c>
      <c r="D204" s="1" t="str">
        <f t="shared" si="17"/>
        <v>PUEBLO BELLOC.E. MARQUETALIA</v>
      </c>
      <c r="E204" s="1" t="str">
        <f t="shared" si="15"/>
        <v xml:space="preserve"> </v>
      </c>
      <c r="F204" s="1" t="str">
        <f t="shared" si="16"/>
        <v xml:space="preserve"> </v>
      </c>
      <c r="AG204" s="16" t="s">
        <v>2054</v>
      </c>
      <c r="AH204" s="16">
        <v>201</v>
      </c>
      <c r="AJ204" s="16"/>
      <c r="AK204" s="16"/>
    </row>
    <row r="205" spans="1:37" x14ac:dyDescent="0.25">
      <c r="A205" s="1" t="s">
        <v>96</v>
      </c>
      <c r="B205" s="1" t="s">
        <v>115</v>
      </c>
      <c r="C205" s="1" t="s">
        <v>289</v>
      </c>
      <c r="D205" s="1" t="str">
        <f t="shared" si="17"/>
        <v>PUEBLO BELLOC.E. MARQUETALIA</v>
      </c>
      <c r="E205" s="1" t="str">
        <f t="shared" si="15"/>
        <v xml:space="preserve"> </v>
      </c>
      <c r="F205" s="1" t="str">
        <f t="shared" si="16"/>
        <v xml:space="preserve"> </v>
      </c>
      <c r="AG205" s="16" t="s">
        <v>2055</v>
      </c>
      <c r="AH205" s="16">
        <v>202</v>
      </c>
      <c r="AJ205" s="16"/>
      <c r="AK205" s="16"/>
    </row>
    <row r="206" spans="1:37" x14ac:dyDescent="0.25">
      <c r="A206" s="1" t="s">
        <v>96</v>
      </c>
      <c r="B206" s="1" t="s">
        <v>115</v>
      </c>
      <c r="C206" s="1" t="s">
        <v>290</v>
      </c>
      <c r="D206" s="1" t="str">
        <f t="shared" si="17"/>
        <v>PUEBLO BELLOC.E. MARQUETALIA</v>
      </c>
      <c r="E206" s="1" t="str">
        <f t="shared" si="15"/>
        <v xml:space="preserve"> </v>
      </c>
      <c r="F206" s="1" t="str">
        <f t="shared" si="16"/>
        <v xml:space="preserve"> </v>
      </c>
      <c r="AG206" s="16" t="s">
        <v>2056</v>
      </c>
      <c r="AH206" s="16">
        <v>203</v>
      </c>
      <c r="AJ206" s="16"/>
      <c r="AK206" s="16"/>
    </row>
    <row r="207" spans="1:37" x14ac:dyDescent="0.25">
      <c r="A207" s="1" t="s">
        <v>96</v>
      </c>
      <c r="B207" s="1" t="s">
        <v>115</v>
      </c>
      <c r="C207" s="1" t="s">
        <v>291</v>
      </c>
      <c r="D207" s="1" t="str">
        <f t="shared" si="17"/>
        <v>PUEBLO BELLOC.E. MARQUETALIA</v>
      </c>
      <c r="E207" s="1" t="str">
        <f t="shared" si="15"/>
        <v xml:space="preserve"> </v>
      </c>
      <c r="F207" s="1" t="str">
        <f t="shared" si="16"/>
        <v xml:space="preserve"> </v>
      </c>
      <c r="AG207" s="16" t="s">
        <v>2057</v>
      </c>
      <c r="AH207" s="16">
        <v>204</v>
      </c>
      <c r="AJ207" s="16"/>
      <c r="AK207" s="16"/>
    </row>
    <row r="208" spans="1:37" x14ac:dyDescent="0.25">
      <c r="A208" s="1" t="s">
        <v>96</v>
      </c>
      <c r="B208" s="1" t="s">
        <v>115</v>
      </c>
      <c r="C208" s="1" t="s">
        <v>201</v>
      </c>
      <c r="D208" s="1" t="str">
        <f t="shared" si="17"/>
        <v>PUEBLO BELLOC.E. MARQUETALIA</v>
      </c>
      <c r="E208" s="1" t="str">
        <f t="shared" si="15"/>
        <v xml:space="preserve"> </v>
      </c>
      <c r="F208" s="1" t="str">
        <f t="shared" si="16"/>
        <v xml:space="preserve"> </v>
      </c>
      <c r="AG208" s="16" t="s">
        <v>2058</v>
      </c>
      <c r="AH208" s="16">
        <v>205</v>
      </c>
      <c r="AJ208" s="16"/>
      <c r="AK208" s="16"/>
    </row>
    <row r="209" spans="1:37" x14ac:dyDescent="0.25">
      <c r="A209" s="1" t="s">
        <v>96</v>
      </c>
      <c r="B209" s="1" t="s">
        <v>115</v>
      </c>
      <c r="C209" s="1" t="s">
        <v>292</v>
      </c>
      <c r="D209" s="1" t="str">
        <f t="shared" si="17"/>
        <v>PUEBLO BELLOC.E. MARQUETALIA</v>
      </c>
      <c r="E209" s="1" t="str">
        <f t="shared" si="15"/>
        <v xml:space="preserve"> </v>
      </c>
      <c r="F209" s="1" t="str">
        <f t="shared" si="16"/>
        <v xml:space="preserve"> </v>
      </c>
      <c r="AG209" s="16" t="s">
        <v>2059</v>
      </c>
      <c r="AH209" s="16">
        <v>206</v>
      </c>
      <c r="AJ209" s="16"/>
      <c r="AK209" s="16"/>
    </row>
    <row r="210" spans="1:37" x14ac:dyDescent="0.25">
      <c r="A210" s="1" t="s">
        <v>96</v>
      </c>
      <c r="B210" s="1" t="s">
        <v>115</v>
      </c>
      <c r="C210" s="1" t="s">
        <v>293</v>
      </c>
      <c r="D210" s="1" t="str">
        <f t="shared" si="17"/>
        <v>PUEBLO BELLOC.E. MARQUETALIA</v>
      </c>
      <c r="E210" s="1" t="str">
        <f t="shared" si="15"/>
        <v xml:space="preserve"> </v>
      </c>
      <c r="F210" s="1" t="str">
        <f t="shared" si="16"/>
        <v xml:space="preserve"> </v>
      </c>
      <c r="AG210" s="16" t="s">
        <v>2060</v>
      </c>
      <c r="AH210" s="16">
        <v>207</v>
      </c>
      <c r="AJ210" s="16"/>
      <c r="AK210" s="16"/>
    </row>
    <row r="211" spans="1:37" x14ac:dyDescent="0.25">
      <c r="A211" s="1" t="s">
        <v>97</v>
      </c>
      <c r="B211" s="1" t="s">
        <v>116</v>
      </c>
      <c r="C211" s="1" t="s">
        <v>294</v>
      </c>
      <c r="D211" s="1" t="str">
        <f t="shared" si="17"/>
        <v>RÍO DE OROC.E. EL BALCON</v>
      </c>
      <c r="E211" s="1" t="str">
        <f t="shared" si="15"/>
        <v xml:space="preserve"> </v>
      </c>
      <c r="F211" s="1" t="str">
        <f t="shared" si="16"/>
        <v xml:space="preserve"> </v>
      </c>
      <c r="AG211" s="16" t="s">
        <v>2061</v>
      </c>
      <c r="AH211" s="16">
        <v>208</v>
      </c>
      <c r="AJ211" s="16"/>
      <c r="AK211" s="16"/>
    </row>
    <row r="212" spans="1:37" x14ac:dyDescent="0.25">
      <c r="A212" s="1" t="s">
        <v>98</v>
      </c>
      <c r="B212" s="1" t="s">
        <v>117</v>
      </c>
      <c r="C212" s="1" t="s">
        <v>117</v>
      </c>
      <c r="D212" s="1" t="str">
        <f t="shared" si="17"/>
        <v>SAN ALBERTOC.E. MONTE NEGRO</v>
      </c>
      <c r="E212" s="1" t="str">
        <f t="shared" si="15"/>
        <v xml:space="preserve"> </v>
      </c>
      <c r="F212" s="1" t="str">
        <f t="shared" si="16"/>
        <v xml:space="preserve"> </v>
      </c>
      <c r="AG212" s="16" t="s">
        <v>2062</v>
      </c>
      <c r="AH212" s="16">
        <v>209</v>
      </c>
      <c r="AJ212" s="16"/>
      <c r="AK212" s="16"/>
    </row>
    <row r="213" spans="1:37" x14ac:dyDescent="0.25">
      <c r="A213" s="1" t="s">
        <v>98</v>
      </c>
      <c r="B213" s="1" t="s">
        <v>117</v>
      </c>
      <c r="C213" s="1" t="s">
        <v>295</v>
      </c>
      <c r="D213" s="1" t="str">
        <f t="shared" si="17"/>
        <v>SAN ALBERTOC.E. MONTE NEGRO</v>
      </c>
      <c r="E213" s="1" t="str">
        <f t="shared" si="15"/>
        <v xml:space="preserve"> </v>
      </c>
      <c r="F213" s="1" t="str">
        <f t="shared" si="16"/>
        <v xml:space="preserve"> </v>
      </c>
      <c r="AG213" s="16" t="s">
        <v>2063</v>
      </c>
      <c r="AH213" s="16">
        <v>210</v>
      </c>
      <c r="AJ213" s="16"/>
      <c r="AK213" s="16"/>
    </row>
    <row r="214" spans="1:37" x14ac:dyDescent="0.25">
      <c r="A214" s="1" t="s">
        <v>98</v>
      </c>
      <c r="B214" s="1" t="s">
        <v>117</v>
      </c>
      <c r="C214" s="1" t="s">
        <v>296</v>
      </c>
      <c r="D214" s="1" t="str">
        <f t="shared" si="17"/>
        <v>SAN ALBERTOC.E. MONTE NEGRO</v>
      </c>
      <c r="E214" s="1" t="str">
        <f t="shared" si="15"/>
        <v xml:space="preserve"> </v>
      </c>
      <c r="F214" s="1" t="str">
        <f t="shared" si="16"/>
        <v xml:space="preserve"> </v>
      </c>
      <c r="AG214" s="16" t="s">
        <v>2064</v>
      </c>
      <c r="AH214" s="16">
        <v>211</v>
      </c>
      <c r="AJ214" s="16"/>
      <c r="AK214" s="16"/>
    </row>
    <row r="215" spans="1:37" x14ac:dyDescent="0.25">
      <c r="A215" s="1" t="s">
        <v>98</v>
      </c>
      <c r="B215" s="1" t="s">
        <v>117</v>
      </c>
      <c r="C215" s="1" t="s">
        <v>297</v>
      </c>
      <c r="D215" s="1" t="str">
        <f t="shared" si="17"/>
        <v>SAN ALBERTOC.E. MONTE NEGRO</v>
      </c>
      <c r="E215" s="1" t="str">
        <f t="shared" si="15"/>
        <v xml:space="preserve"> </v>
      </c>
      <c r="F215" s="1" t="str">
        <f t="shared" si="16"/>
        <v xml:space="preserve"> </v>
      </c>
      <c r="AG215" s="16" t="s">
        <v>2065</v>
      </c>
      <c r="AH215" s="16">
        <v>212</v>
      </c>
      <c r="AJ215" s="16"/>
      <c r="AK215" s="16"/>
    </row>
    <row r="216" spans="1:37" x14ac:dyDescent="0.25">
      <c r="A216" s="1" t="s">
        <v>98</v>
      </c>
      <c r="B216" s="1" t="s">
        <v>117</v>
      </c>
      <c r="C216" s="1" t="s">
        <v>298</v>
      </c>
      <c r="D216" s="1" t="str">
        <f t="shared" si="17"/>
        <v>SAN ALBERTOC.E. MONTE NEGRO</v>
      </c>
      <c r="E216" s="1" t="str">
        <f t="shared" si="15"/>
        <v xml:space="preserve"> </v>
      </c>
      <c r="F216" s="1" t="str">
        <f t="shared" ref="F216:F217" si="18">TEXT(E216,"#")</f>
        <v xml:space="preserve"> </v>
      </c>
      <c r="AG216" s="16" t="s">
        <v>2066</v>
      </c>
      <c r="AH216" s="16">
        <v>213</v>
      </c>
      <c r="AJ216" s="16"/>
      <c r="AK216" s="16"/>
    </row>
    <row r="217" spans="1:37" x14ac:dyDescent="0.25">
      <c r="A217" s="1" t="s">
        <v>98</v>
      </c>
      <c r="B217" s="1" t="s">
        <v>117</v>
      </c>
      <c r="C217" s="1" t="s">
        <v>299</v>
      </c>
      <c r="D217" s="1" t="str">
        <f t="shared" si="17"/>
        <v>SAN ALBERTOC.E. MONTE NEGRO</v>
      </c>
      <c r="E217" s="1">
        <f t="shared" si="15"/>
        <v>0</v>
      </c>
      <c r="F217" s="1" t="str">
        <f t="shared" si="18"/>
        <v/>
      </c>
      <c r="AG217" s="16" t="s">
        <v>2066</v>
      </c>
      <c r="AH217" s="16">
        <v>214</v>
      </c>
      <c r="AJ217" s="16"/>
      <c r="AK217" s="16"/>
    </row>
    <row r="218" spans="1:37" x14ac:dyDescent="0.25">
      <c r="AG218" s="16" t="s">
        <v>2067</v>
      </c>
      <c r="AH218" s="16">
        <v>215</v>
      </c>
      <c r="AJ218" s="16"/>
      <c r="AK218" s="16"/>
    </row>
    <row r="219" spans="1:37" x14ac:dyDescent="0.25">
      <c r="AG219" s="16" t="s">
        <v>2068</v>
      </c>
      <c r="AH219" s="16">
        <v>216</v>
      </c>
      <c r="AJ219" s="16"/>
      <c r="AK219" s="16"/>
    </row>
    <row r="220" spans="1:37" x14ac:dyDescent="0.25">
      <c r="AG220" s="16" t="s">
        <v>2069</v>
      </c>
      <c r="AH220" s="16">
        <v>217</v>
      </c>
      <c r="AJ220" s="16"/>
      <c r="AK220" s="16"/>
    </row>
    <row r="221" spans="1:37" x14ac:dyDescent="0.25">
      <c r="AG221" s="16" t="s">
        <v>2070</v>
      </c>
      <c r="AH221" s="16">
        <v>218</v>
      </c>
      <c r="AJ221" s="16"/>
      <c r="AK221" s="16"/>
    </row>
    <row r="222" spans="1:37" x14ac:dyDescent="0.25">
      <c r="AG222" s="16" t="s">
        <v>2071</v>
      </c>
      <c r="AH222" s="16">
        <v>219</v>
      </c>
      <c r="AJ222" s="16"/>
      <c r="AK222" s="16"/>
    </row>
    <row r="223" spans="1:37" x14ac:dyDescent="0.25">
      <c r="AG223" s="16" t="s">
        <v>2072</v>
      </c>
      <c r="AH223" s="16">
        <v>220</v>
      </c>
      <c r="AJ223" s="16"/>
      <c r="AK223" s="16"/>
    </row>
    <row r="224" spans="1:37" x14ac:dyDescent="0.25">
      <c r="AG224" s="16" t="s">
        <v>2073</v>
      </c>
      <c r="AH224" s="16">
        <v>221</v>
      </c>
      <c r="AJ224" s="16"/>
      <c r="AK224" s="16"/>
    </row>
    <row r="225" spans="33:37" x14ac:dyDescent="0.25">
      <c r="AG225" s="16" t="s">
        <v>2074</v>
      </c>
      <c r="AH225" s="16">
        <v>222</v>
      </c>
      <c r="AJ225" s="16"/>
      <c r="AK225" s="16"/>
    </row>
    <row r="226" spans="33:37" x14ac:dyDescent="0.25">
      <c r="AG226" s="16" t="s">
        <v>2075</v>
      </c>
      <c r="AH226" s="16">
        <v>223</v>
      </c>
      <c r="AJ226" s="16"/>
      <c r="AK226" s="16"/>
    </row>
    <row r="227" spans="33:37" x14ac:dyDescent="0.25">
      <c r="AG227" s="16" t="s">
        <v>2076</v>
      </c>
      <c r="AH227" s="16">
        <v>224</v>
      </c>
      <c r="AJ227" s="16"/>
      <c r="AK227" s="16"/>
    </row>
    <row r="228" spans="33:37" x14ac:dyDescent="0.25">
      <c r="AG228" s="16" t="s">
        <v>2077</v>
      </c>
      <c r="AH228" s="16">
        <v>225</v>
      </c>
      <c r="AJ228" s="16"/>
      <c r="AK228" s="16"/>
    </row>
    <row r="229" spans="33:37" x14ac:dyDescent="0.25">
      <c r="AG229" s="16" t="s">
        <v>1425</v>
      </c>
      <c r="AH229" s="16">
        <v>226</v>
      </c>
      <c r="AJ229" s="16"/>
      <c r="AK229" s="16"/>
    </row>
    <row r="230" spans="33:37" x14ac:dyDescent="0.25">
      <c r="AG230" s="16" t="s">
        <v>2078</v>
      </c>
      <c r="AH230" s="16">
        <v>227</v>
      </c>
      <c r="AJ230" s="16"/>
      <c r="AK230" s="16"/>
    </row>
    <row r="231" spans="33:37" x14ac:dyDescent="0.25">
      <c r="AG231" s="16" t="s">
        <v>2079</v>
      </c>
      <c r="AH231" s="16">
        <v>228</v>
      </c>
      <c r="AJ231" s="16"/>
      <c r="AK231" s="16"/>
    </row>
    <row r="232" spans="33:37" x14ac:dyDescent="0.25">
      <c r="AG232" s="16" t="s">
        <v>2080</v>
      </c>
      <c r="AH232" s="16">
        <v>229</v>
      </c>
      <c r="AJ232" s="16"/>
      <c r="AK232" s="16"/>
    </row>
    <row r="233" spans="33:37" x14ac:dyDescent="0.25">
      <c r="AG233" s="16" t="s">
        <v>2081</v>
      </c>
      <c r="AH233" s="16">
        <v>230</v>
      </c>
      <c r="AJ233" s="16"/>
      <c r="AK233" s="16"/>
    </row>
    <row r="234" spans="33:37" x14ac:dyDescent="0.25">
      <c r="AG234" s="16" t="s">
        <v>2082</v>
      </c>
      <c r="AH234" s="16">
        <v>231</v>
      </c>
      <c r="AJ234" s="16"/>
      <c r="AK234" s="16"/>
    </row>
    <row r="235" spans="33:37" x14ac:dyDescent="0.25">
      <c r="AG235" s="16" t="s">
        <v>2083</v>
      </c>
      <c r="AH235" s="16">
        <v>232</v>
      </c>
      <c r="AJ235" s="16"/>
      <c r="AK235" s="16"/>
    </row>
    <row r="236" spans="33:37" x14ac:dyDescent="0.25">
      <c r="AG236" s="16" t="s">
        <v>2084</v>
      </c>
      <c r="AH236" s="16">
        <v>233</v>
      </c>
      <c r="AJ236" s="16"/>
      <c r="AK236" s="16"/>
    </row>
    <row r="237" spans="33:37" x14ac:dyDescent="0.25">
      <c r="AG237" s="16" t="s">
        <v>2085</v>
      </c>
      <c r="AH237" s="16">
        <v>234</v>
      </c>
      <c r="AJ237" s="16"/>
      <c r="AK237" s="16"/>
    </row>
    <row r="238" spans="33:37" x14ac:dyDescent="0.25">
      <c r="AG238" s="16" t="s">
        <v>2086</v>
      </c>
      <c r="AH238" s="16">
        <v>235</v>
      </c>
      <c r="AJ238" s="16"/>
      <c r="AK238" s="16"/>
    </row>
    <row r="239" spans="33:37" x14ac:dyDescent="0.25">
      <c r="AG239" s="16" t="s">
        <v>2087</v>
      </c>
      <c r="AH239" s="16">
        <v>236</v>
      </c>
      <c r="AJ239" s="16"/>
      <c r="AK239" s="16"/>
    </row>
    <row r="240" spans="33:37" x14ac:dyDescent="0.25">
      <c r="AG240" s="16" t="s">
        <v>2088</v>
      </c>
      <c r="AH240" s="16">
        <v>237</v>
      </c>
      <c r="AJ240" s="16"/>
      <c r="AK240" s="16"/>
    </row>
    <row r="241" spans="33:37" x14ac:dyDescent="0.25">
      <c r="AG241" s="16" t="s">
        <v>2089</v>
      </c>
      <c r="AH241" s="16">
        <v>238</v>
      </c>
      <c r="AJ241" s="16"/>
      <c r="AK241" s="16"/>
    </row>
    <row r="242" spans="33:37" x14ac:dyDescent="0.25">
      <c r="AG242" s="16" t="s">
        <v>2090</v>
      </c>
      <c r="AH242" s="16">
        <v>239</v>
      </c>
      <c r="AJ242" s="16"/>
      <c r="AK242" s="16"/>
    </row>
    <row r="243" spans="33:37" x14ac:dyDescent="0.25">
      <c r="AG243" s="16" t="s">
        <v>2091</v>
      </c>
      <c r="AH243" s="16">
        <v>240</v>
      </c>
      <c r="AJ243" s="16"/>
      <c r="AK243" s="16"/>
    </row>
    <row r="244" spans="33:37" x14ac:dyDescent="0.25">
      <c r="AG244" s="16" t="s">
        <v>2092</v>
      </c>
      <c r="AH244" s="16">
        <v>241</v>
      </c>
      <c r="AJ244" s="16"/>
      <c r="AK244" s="16"/>
    </row>
    <row r="245" spans="33:37" x14ac:dyDescent="0.25">
      <c r="AG245" s="16" t="s">
        <v>2093</v>
      </c>
      <c r="AH245" s="16">
        <v>242</v>
      </c>
      <c r="AJ245" s="16"/>
      <c r="AK245" s="16"/>
    </row>
    <row r="246" spans="33:37" x14ac:dyDescent="0.25">
      <c r="AG246" s="16" t="s">
        <v>2094</v>
      </c>
      <c r="AH246" s="16">
        <v>243</v>
      </c>
      <c r="AJ246" s="16"/>
      <c r="AK246" s="16"/>
    </row>
    <row r="247" spans="33:37" x14ac:dyDescent="0.25">
      <c r="AG247" s="16" t="s">
        <v>2095</v>
      </c>
      <c r="AH247" s="16">
        <v>244</v>
      </c>
      <c r="AJ247" s="16"/>
      <c r="AK247" s="16"/>
    </row>
    <row r="248" spans="33:37" x14ac:dyDescent="0.25">
      <c r="AG248" s="16" t="s">
        <v>2096</v>
      </c>
      <c r="AH248" s="16">
        <v>245</v>
      </c>
      <c r="AJ248" s="16"/>
      <c r="AK248" s="16"/>
    </row>
    <row r="249" spans="33:37" x14ac:dyDescent="0.25">
      <c r="AG249" s="16" t="s">
        <v>2097</v>
      </c>
      <c r="AH249" s="16">
        <v>246</v>
      </c>
      <c r="AJ249" s="16"/>
      <c r="AK249" s="16"/>
    </row>
    <row r="250" spans="33:37" x14ac:dyDescent="0.25">
      <c r="AG250" s="16" t="s">
        <v>2097</v>
      </c>
      <c r="AH250" s="16">
        <v>247</v>
      </c>
      <c r="AJ250" s="16"/>
      <c r="AK250" s="16"/>
    </row>
    <row r="251" spans="33:37" x14ac:dyDescent="0.25">
      <c r="AG251" s="16" t="s">
        <v>2098</v>
      </c>
      <c r="AH251" s="16">
        <v>248</v>
      </c>
      <c r="AJ251" s="16"/>
      <c r="AK251" s="16"/>
    </row>
    <row r="252" spans="33:37" x14ac:dyDescent="0.25">
      <c r="AG252" s="16" t="s">
        <v>1766</v>
      </c>
      <c r="AH252" s="16">
        <v>249</v>
      </c>
      <c r="AJ252" s="16"/>
      <c r="AK252" s="16"/>
    </row>
    <row r="253" spans="33:37" x14ac:dyDescent="0.25">
      <c r="AG253" s="16" t="s">
        <v>2099</v>
      </c>
      <c r="AH253" s="16">
        <v>250</v>
      </c>
      <c r="AJ253" s="16"/>
      <c r="AK253" s="16"/>
    </row>
    <row r="254" spans="33:37" x14ac:dyDescent="0.25">
      <c r="AG254" s="16" t="s">
        <v>2100</v>
      </c>
      <c r="AH254" s="16">
        <v>251</v>
      </c>
      <c r="AJ254" s="16"/>
      <c r="AK254" s="16"/>
    </row>
    <row r="255" spans="33:37" x14ac:dyDescent="0.25">
      <c r="AG255" s="16" t="s">
        <v>2101</v>
      </c>
      <c r="AH255" s="16">
        <v>252</v>
      </c>
      <c r="AJ255" s="16"/>
      <c r="AK255" s="16"/>
    </row>
    <row r="256" spans="33:37" x14ac:dyDescent="0.25">
      <c r="AG256" s="16" t="s">
        <v>2102</v>
      </c>
      <c r="AH256" s="16">
        <v>253</v>
      </c>
      <c r="AJ256" s="16"/>
      <c r="AK256" s="16"/>
    </row>
    <row r="257" spans="33:37" x14ac:dyDescent="0.25">
      <c r="AG257" s="16" t="s">
        <v>2103</v>
      </c>
      <c r="AH257" s="16">
        <v>254</v>
      </c>
      <c r="AJ257" s="16"/>
      <c r="AK257" s="16"/>
    </row>
    <row r="258" spans="33:37" x14ac:dyDescent="0.25">
      <c r="AG258" s="16" t="s">
        <v>2104</v>
      </c>
      <c r="AH258" s="16">
        <v>255</v>
      </c>
      <c r="AJ258" s="16"/>
      <c r="AK258" s="16"/>
    </row>
    <row r="259" spans="33:37" x14ac:dyDescent="0.25">
      <c r="AG259" s="16" t="s">
        <v>2105</v>
      </c>
      <c r="AH259" s="16">
        <v>256</v>
      </c>
      <c r="AJ259" s="16"/>
      <c r="AK259" s="16"/>
    </row>
    <row r="260" spans="33:37" x14ac:dyDescent="0.25">
      <c r="AG260" s="16" t="s">
        <v>2106</v>
      </c>
      <c r="AH260" s="16">
        <v>257</v>
      </c>
      <c r="AJ260" s="16"/>
      <c r="AK260" s="16"/>
    </row>
    <row r="261" spans="33:37" x14ac:dyDescent="0.25">
      <c r="AG261" s="16" t="s">
        <v>2107</v>
      </c>
      <c r="AH261" s="16">
        <v>258</v>
      </c>
      <c r="AJ261" s="16"/>
      <c r="AK261" s="16"/>
    </row>
    <row r="262" spans="33:37" x14ac:dyDescent="0.25">
      <c r="AG262" s="16" t="s">
        <v>2108</v>
      </c>
      <c r="AH262" s="16">
        <v>259</v>
      </c>
      <c r="AJ262" s="16"/>
      <c r="AK262" s="16"/>
    </row>
    <row r="263" spans="33:37" x14ac:dyDescent="0.25">
      <c r="AG263" s="16" t="s">
        <v>2109</v>
      </c>
      <c r="AH263" s="16">
        <v>260</v>
      </c>
      <c r="AJ263" s="16"/>
      <c r="AK263" s="16"/>
    </row>
    <row r="264" spans="33:37" x14ac:dyDescent="0.25">
      <c r="AG264" s="16" t="s">
        <v>2110</v>
      </c>
      <c r="AH264" s="16">
        <v>261</v>
      </c>
      <c r="AJ264" s="16"/>
      <c r="AK264" s="16"/>
    </row>
    <row r="265" spans="33:37" x14ac:dyDescent="0.25">
      <c r="AG265" s="16" t="s">
        <v>2111</v>
      </c>
      <c r="AH265" s="16">
        <v>262</v>
      </c>
      <c r="AJ265" s="16"/>
      <c r="AK265" s="16"/>
    </row>
    <row r="266" spans="33:37" x14ac:dyDescent="0.25">
      <c r="AG266" s="16" t="s">
        <v>2112</v>
      </c>
      <c r="AH266" s="16">
        <v>263</v>
      </c>
      <c r="AJ266" s="16"/>
      <c r="AK266" s="16"/>
    </row>
    <row r="267" spans="33:37" x14ac:dyDescent="0.25">
      <c r="AG267" s="16" t="s">
        <v>2113</v>
      </c>
      <c r="AH267" s="16">
        <v>264</v>
      </c>
      <c r="AJ267" s="16"/>
      <c r="AK267" s="16"/>
    </row>
    <row r="268" spans="33:37" x14ac:dyDescent="0.25">
      <c r="AG268" s="16" t="s">
        <v>2114</v>
      </c>
      <c r="AH268" s="16">
        <v>265</v>
      </c>
      <c r="AJ268" s="16"/>
      <c r="AK268" s="16"/>
    </row>
    <row r="269" spans="33:37" x14ac:dyDescent="0.25">
      <c r="AG269" s="16" t="s">
        <v>2115</v>
      </c>
      <c r="AH269" s="16">
        <v>266</v>
      </c>
      <c r="AJ269" s="16"/>
      <c r="AK269" s="16"/>
    </row>
    <row r="270" spans="33:37" x14ac:dyDescent="0.25">
      <c r="AG270" s="16" t="s">
        <v>1114</v>
      </c>
      <c r="AH270" s="16">
        <v>267</v>
      </c>
      <c r="AJ270" s="16"/>
      <c r="AK270" s="16"/>
    </row>
    <row r="271" spans="33:37" x14ac:dyDescent="0.25">
      <c r="AG271" s="16" t="s">
        <v>2116</v>
      </c>
      <c r="AH271" s="16">
        <v>268</v>
      </c>
      <c r="AJ271" s="16"/>
      <c r="AK271" s="16"/>
    </row>
    <row r="272" spans="33:37" x14ac:dyDescent="0.25">
      <c r="AG272" s="16" t="s">
        <v>2117</v>
      </c>
      <c r="AH272" s="16">
        <v>269</v>
      </c>
      <c r="AJ272" s="16"/>
      <c r="AK272" s="16"/>
    </row>
    <row r="273" spans="33:37" x14ac:dyDescent="0.25">
      <c r="AG273" s="16" t="s">
        <v>2118</v>
      </c>
      <c r="AH273" s="16">
        <v>270</v>
      </c>
      <c r="AJ273" s="16"/>
      <c r="AK273" s="16"/>
    </row>
    <row r="274" spans="33:37" x14ac:dyDescent="0.25">
      <c r="AG274" s="16" t="s">
        <v>2119</v>
      </c>
      <c r="AH274" s="16">
        <v>271</v>
      </c>
      <c r="AJ274" s="16"/>
      <c r="AK274" s="16"/>
    </row>
    <row r="275" spans="33:37" x14ac:dyDescent="0.25">
      <c r="AG275" s="16" t="s">
        <v>2120</v>
      </c>
      <c r="AH275" s="16">
        <v>272</v>
      </c>
      <c r="AJ275" s="16"/>
      <c r="AK275" s="16"/>
    </row>
    <row r="276" spans="33:37" x14ac:dyDescent="0.25">
      <c r="AG276" s="16" t="s">
        <v>2121</v>
      </c>
      <c r="AH276" s="16">
        <v>273</v>
      </c>
      <c r="AJ276" s="16"/>
      <c r="AK276" s="16"/>
    </row>
    <row r="277" spans="33:37" x14ac:dyDescent="0.25">
      <c r="AG277" s="16" t="s">
        <v>2122</v>
      </c>
      <c r="AH277" s="16">
        <v>274</v>
      </c>
      <c r="AJ277" s="16"/>
      <c r="AK277" s="16"/>
    </row>
    <row r="278" spans="33:37" x14ac:dyDescent="0.25">
      <c r="AG278" s="16" t="s">
        <v>2123</v>
      </c>
      <c r="AH278" s="16">
        <v>275</v>
      </c>
      <c r="AJ278" s="16"/>
      <c r="AK278" s="16"/>
    </row>
    <row r="279" spans="33:37" x14ac:dyDescent="0.25">
      <c r="AG279" s="16" t="s">
        <v>2124</v>
      </c>
      <c r="AH279" s="16">
        <v>276</v>
      </c>
      <c r="AJ279" s="16"/>
      <c r="AK279" s="16"/>
    </row>
    <row r="280" spans="33:37" x14ac:dyDescent="0.25">
      <c r="AG280" s="16" t="s">
        <v>2125</v>
      </c>
      <c r="AH280" s="16">
        <v>277</v>
      </c>
      <c r="AJ280" s="16"/>
      <c r="AK280" s="16"/>
    </row>
    <row r="281" spans="33:37" x14ac:dyDescent="0.25">
      <c r="AG281" s="16" t="s">
        <v>2126</v>
      </c>
      <c r="AH281" s="16">
        <v>278</v>
      </c>
      <c r="AJ281" s="16"/>
      <c r="AK281" s="16"/>
    </row>
    <row r="282" spans="33:37" x14ac:dyDescent="0.25">
      <c r="AG282" s="16" t="s">
        <v>2127</v>
      </c>
      <c r="AH282" s="16">
        <v>279</v>
      </c>
      <c r="AJ282" s="16"/>
      <c r="AK282" s="16"/>
    </row>
    <row r="283" spans="33:37" x14ac:dyDescent="0.25">
      <c r="AG283" s="16" t="s">
        <v>2128</v>
      </c>
      <c r="AH283" s="16">
        <v>280</v>
      </c>
      <c r="AJ283" s="16"/>
      <c r="AK283" s="16"/>
    </row>
    <row r="284" spans="33:37" x14ac:dyDescent="0.25">
      <c r="AG284" s="16" t="s">
        <v>2129</v>
      </c>
      <c r="AH284" s="16">
        <v>281</v>
      </c>
      <c r="AJ284" s="16"/>
      <c r="AK284" s="16"/>
    </row>
    <row r="285" spans="33:37" x14ac:dyDescent="0.25">
      <c r="AG285" s="16" t="s">
        <v>2130</v>
      </c>
      <c r="AH285" s="16">
        <v>282</v>
      </c>
      <c r="AJ285" s="16"/>
      <c r="AK285" s="16"/>
    </row>
    <row r="286" spans="33:37" x14ac:dyDescent="0.25">
      <c r="AG286" s="16" t="s">
        <v>2131</v>
      </c>
      <c r="AH286" s="16">
        <v>283</v>
      </c>
      <c r="AJ286" s="16"/>
      <c r="AK286" s="16"/>
    </row>
    <row r="287" spans="33:37" x14ac:dyDescent="0.25">
      <c r="AG287" s="16" t="s">
        <v>2132</v>
      </c>
      <c r="AH287" s="16">
        <v>284</v>
      </c>
      <c r="AJ287" s="16"/>
      <c r="AK287" s="16"/>
    </row>
    <row r="288" spans="33:37" x14ac:dyDescent="0.25">
      <c r="AG288" s="16" t="s">
        <v>2133</v>
      </c>
      <c r="AH288" s="16">
        <v>285</v>
      </c>
      <c r="AJ288" s="16"/>
      <c r="AK288" s="16"/>
    </row>
    <row r="289" spans="33:37" x14ac:dyDescent="0.25">
      <c r="AG289" s="16" t="s">
        <v>2134</v>
      </c>
      <c r="AH289" s="16">
        <v>286</v>
      </c>
      <c r="AJ289" s="16"/>
      <c r="AK289" s="16"/>
    </row>
    <row r="290" spans="33:37" x14ac:dyDescent="0.25">
      <c r="AG290" s="16" t="s">
        <v>2135</v>
      </c>
      <c r="AH290" s="16">
        <v>287</v>
      </c>
      <c r="AJ290" s="16"/>
      <c r="AK290" s="16"/>
    </row>
    <row r="291" spans="33:37" x14ac:dyDescent="0.25">
      <c r="AG291" s="16" t="s">
        <v>2136</v>
      </c>
      <c r="AH291" s="16">
        <v>288</v>
      </c>
      <c r="AJ291" s="16"/>
      <c r="AK291" s="16"/>
    </row>
    <row r="292" spans="33:37" x14ac:dyDescent="0.25">
      <c r="AG292" s="16" t="s">
        <v>1479</v>
      </c>
      <c r="AH292" s="16">
        <v>289</v>
      </c>
      <c r="AJ292" s="16"/>
      <c r="AK292" s="16"/>
    </row>
    <row r="293" spans="33:37" x14ac:dyDescent="0.25">
      <c r="AG293" s="16" t="s">
        <v>2137</v>
      </c>
      <c r="AH293" s="16">
        <v>290</v>
      </c>
      <c r="AJ293" s="16"/>
      <c r="AK293" s="16"/>
    </row>
    <row r="294" spans="33:37" x14ac:dyDescent="0.25">
      <c r="AG294" s="16" t="s">
        <v>2138</v>
      </c>
      <c r="AH294" s="16">
        <v>291</v>
      </c>
      <c r="AJ294" s="16"/>
      <c r="AK294" s="16"/>
    </row>
    <row r="295" spans="33:37" x14ac:dyDescent="0.25">
      <c r="AG295" s="16" t="s">
        <v>2139</v>
      </c>
      <c r="AH295" s="16">
        <v>292</v>
      </c>
      <c r="AJ295" s="16"/>
      <c r="AK295" s="16"/>
    </row>
    <row r="296" spans="33:37" x14ac:dyDescent="0.25">
      <c r="AG296" s="16" t="s">
        <v>2140</v>
      </c>
      <c r="AH296" s="16">
        <v>293</v>
      </c>
      <c r="AJ296" s="16"/>
      <c r="AK296" s="16"/>
    </row>
    <row r="297" spans="33:37" x14ac:dyDescent="0.25">
      <c r="AG297" s="16" t="s">
        <v>2141</v>
      </c>
      <c r="AH297" s="16">
        <v>294</v>
      </c>
      <c r="AJ297" s="16"/>
      <c r="AK297" s="16"/>
    </row>
    <row r="298" spans="33:37" x14ac:dyDescent="0.25">
      <c r="AG298" s="16" t="s">
        <v>2142</v>
      </c>
      <c r="AH298" s="16">
        <v>295</v>
      </c>
      <c r="AJ298" s="16"/>
      <c r="AK298" s="16"/>
    </row>
    <row r="299" spans="33:37" x14ac:dyDescent="0.25">
      <c r="AG299" s="16" t="s">
        <v>2143</v>
      </c>
      <c r="AH299" s="16">
        <v>296</v>
      </c>
      <c r="AJ299" s="16"/>
      <c r="AK299" s="16"/>
    </row>
    <row r="300" spans="33:37" x14ac:dyDescent="0.25">
      <c r="AG300" s="16" t="s">
        <v>2144</v>
      </c>
      <c r="AH300" s="16">
        <v>297</v>
      </c>
      <c r="AJ300" s="16"/>
      <c r="AK300" s="16"/>
    </row>
    <row r="301" spans="33:37" x14ac:dyDescent="0.25">
      <c r="AG301" s="16" t="s">
        <v>2145</v>
      </c>
      <c r="AH301" s="16">
        <v>298</v>
      </c>
      <c r="AJ301" s="16"/>
      <c r="AK301" s="16"/>
    </row>
    <row r="302" spans="33:37" x14ac:dyDescent="0.25">
      <c r="AG302" s="16" t="s">
        <v>2146</v>
      </c>
      <c r="AH302" s="16">
        <v>299</v>
      </c>
      <c r="AJ302" s="16"/>
      <c r="AK302" s="16"/>
    </row>
    <row r="303" spans="33:37" x14ac:dyDescent="0.25">
      <c r="AG303" s="16" t="s">
        <v>2147</v>
      </c>
      <c r="AH303" s="16">
        <v>300</v>
      </c>
      <c r="AJ303" s="16"/>
      <c r="AK303" s="16"/>
    </row>
    <row r="304" spans="33:37" x14ac:dyDescent="0.25">
      <c r="AG304" s="16" t="s">
        <v>2148</v>
      </c>
      <c r="AH304" s="16">
        <v>301</v>
      </c>
      <c r="AJ304" s="16"/>
      <c r="AK304" s="16"/>
    </row>
    <row r="305" spans="33:37" x14ac:dyDescent="0.25">
      <c r="AG305" s="16" t="s">
        <v>1226</v>
      </c>
      <c r="AH305" s="16">
        <v>302</v>
      </c>
      <c r="AJ305" s="16"/>
      <c r="AK305" s="16"/>
    </row>
    <row r="306" spans="33:37" x14ac:dyDescent="0.25">
      <c r="AG306" s="16" t="s">
        <v>2149</v>
      </c>
      <c r="AH306" s="16">
        <v>303</v>
      </c>
      <c r="AJ306" s="16"/>
      <c r="AK306" s="16"/>
    </row>
    <row r="307" spans="33:37" x14ac:dyDescent="0.25">
      <c r="AG307" s="16" t="s">
        <v>1480</v>
      </c>
      <c r="AH307" s="16">
        <v>304</v>
      </c>
      <c r="AJ307" s="16"/>
      <c r="AK307" s="16"/>
    </row>
    <row r="308" spans="33:37" x14ac:dyDescent="0.25">
      <c r="AG308" s="16" t="s">
        <v>2150</v>
      </c>
      <c r="AH308" s="16">
        <v>305</v>
      </c>
      <c r="AJ308" s="16"/>
      <c r="AK308" s="16"/>
    </row>
    <row r="309" spans="33:37" x14ac:dyDescent="0.25">
      <c r="AG309" s="16" t="s">
        <v>2151</v>
      </c>
      <c r="AH309" s="16">
        <v>306</v>
      </c>
      <c r="AJ309" s="16"/>
      <c r="AK309" s="16"/>
    </row>
    <row r="310" spans="33:37" x14ac:dyDescent="0.25">
      <c r="AG310" s="16" t="s">
        <v>2152</v>
      </c>
      <c r="AH310" s="16">
        <v>307</v>
      </c>
      <c r="AJ310" s="16"/>
      <c r="AK310" s="16"/>
    </row>
    <row r="311" spans="33:37" x14ac:dyDescent="0.25">
      <c r="AG311" s="16" t="s">
        <v>2153</v>
      </c>
      <c r="AH311" s="16">
        <v>308</v>
      </c>
      <c r="AJ311" s="16"/>
      <c r="AK311" s="16"/>
    </row>
    <row r="312" spans="33:37" x14ac:dyDescent="0.25">
      <c r="AG312" s="16" t="s">
        <v>2154</v>
      </c>
      <c r="AH312" s="16">
        <v>309</v>
      </c>
      <c r="AJ312" s="16"/>
      <c r="AK312" s="16"/>
    </row>
    <row r="313" spans="33:37" x14ac:dyDescent="0.25">
      <c r="AG313" s="16" t="s">
        <v>2155</v>
      </c>
      <c r="AH313" s="16">
        <v>310</v>
      </c>
      <c r="AJ313" s="16"/>
      <c r="AK313" s="16"/>
    </row>
    <row r="314" spans="33:37" x14ac:dyDescent="0.25">
      <c r="AG314" s="16" t="s">
        <v>2156</v>
      </c>
      <c r="AH314" s="16">
        <v>311</v>
      </c>
      <c r="AJ314" s="16"/>
      <c r="AK314" s="16"/>
    </row>
    <row r="315" spans="33:37" x14ac:dyDescent="0.25">
      <c r="AG315" s="16" t="s">
        <v>2157</v>
      </c>
      <c r="AH315" s="16">
        <v>312</v>
      </c>
      <c r="AJ315" s="16"/>
      <c r="AK315" s="16"/>
    </row>
    <row r="316" spans="33:37" x14ac:dyDescent="0.25">
      <c r="AG316" s="16" t="s">
        <v>2158</v>
      </c>
      <c r="AH316" s="16">
        <v>313</v>
      </c>
      <c r="AJ316" s="16"/>
      <c r="AK316" s="16"/>
    </row>
    <row r="317" spans="33:37" x14ac:dyDescent="0.25">
      <c r="AG317" s="16" t="s">
        <v>2159</v>
      </c>
      <c r="AH317" s="16">
        <v>314</v>
      </c>
      <c r="AJ317" s="16"/>
      <c r="AK317" s="16"/>
    </row>
    <row r="318" spans="33:37" x14ac:dyDescent="0.25">
      <c r="AG318" s="16" t="s">
        <v>2160</v>
      </c>
      <c r="AH318" s="16">
        <v>315</v>
      </c>
      <c r="AJ318" s="16"/>
      <c r="AK318" s="16"/>
    </row>
    <row r="319" spans="33:37" x14ac:dyDescent="0.25">
      <c r="AG319" s="16" t="s">
        <v>2161</v>
      </c>
      <c r="AH319" s="16">
        <v>316</v>
      </c>
      <c r="AJ319" s="16"/>
      <c r="AK319" s="16"/>
    </row>
    <row r="320" spans="33:37" x14ac:dyDescent="0.25">
      <c r="AG320" s="16" t="s">
        <v>2162</v>
      </c>
      <c r="AH320" s="16">
        <v>317</v>
      </c>
      <c r="AJ320" s="16"/>
      <c r="AK320" s="16"/>
    </row>
    <row r="321" spans="33:37" x14ac:dyDescent="0.25">
      <c r="AG321" s="16" t="s">
        <v>2163</v>
      </c>
      <c r="AH321" s="16">
        <v>318</v>
      </c>
      <c r="AJ321" s="16"/>
      <c r="AK321" s="16"/>
    </row>
    <row r="322" spans="33:37" x14ac:dyDescent="0.25">
      <c r="AG322" s="16" t="s">
        <v>2164</v>
      </c>
      <c r="AH322" s="16">
        <v>319</v>
      </c>
      <c r="AJ322" s="16"/>
      <c r="AK322" s="16"/>
    </row>
    <row r="323" spans="33:37" x14ac:dyDescent="0.25">
      <c r="AG323" s="16" t="s">
        <v>2165</v>
      </c>
      <c r="AH323" s="16">
        <v>320</v>
      </c>
      <c r="AJ323" s="16"/>
      <c r="AK323" s="16"/>
    </row>
    <row r="324" spans="33:37" x14ac:dyDescent="0.25">
      <c r="AG324" s="16" t="s">
        <v>2166</v>
      </c>
      <c r="AH324" s="16">
        <v>321</v>
      </c>
      <c r="AJ324" s="16"/>
      <c r="AK324" s="16"/>
    </row>
    <row r="325" spans="33:37" x14ac:dyDescent="0.25">
      <c r="AG325" s="16" t="s">
        <v>2167</v>
      </c>
      <c r="AH325" s="16">
        <v>322</v>
      </c>
      <c r="AJ325" s="16"/>
      <c r="AK325" s="16"/>
    </row>
    <row r="326" spans="33:37" x14ac:dyDescent="0.25">
      <c r="AG326" s="16" t="s">
        <v>2168</v>
      </c>
      <c r="AH326" s="16">
        <v>323</v>
      </c>
      <c r="AJ326" s="16"/>
      <c r="AK326" s="16"/>
    </row>
    <row r="327" spans="33:37" x14ac:dyDescent="0.25">
      <c r="AG327" s="16" t="s">
        <v>2169</v>
      </c>
      <c r="AH327" s="16">
        <v>324</v>
      </c>
      <c r="AJ327" s="16"/>
      <c r="AK327" s="16"/>
    </row>
    <row r="328" spans="33:37" x14ac:dyDescent="0.25">
      <c r="AG328" s="16" t="s">
        <v>2170</v>
      </c>
      <c r="AH328" s="16">
        <v>325</v>
      </c>
      <c r="AJ328" s="16"/>
      <c r="AK328" s="16"/>
    </row>
    <row r="329" spans="33:37" x14ac:dyDescent="0.25">
      <c r="AG329" s="16" t="s">
        <v>2171</v>
      </c>
      <c r="AH329" s="16">
        <v>326</v>
      </c>
      <c r="AJ329" s="16"/>
      <c r="AK329" s="16"/>
    </row>
    <row r="330" spans="33:37" x14ac:dyDescent="0.25">
      <c r="AG330" s="16" t="s">
        <v>2172</v>
      </c>
      <c r="AH330" s="16">
        <v>327</v>
      </c>
      <c r="AJ330" s="16"/>
      <c r="AK330" s="16"/>
    </row>
    <row r="331" spans="33:37" x14ac:dyDescent="0.25">
      <c r="AG331" s="16" t="s">
        <v>2173</v>
      </c>
      <c r="AH331" s="16">
        <v>328</v>
      </c>
      <c r="AJ331" s="16"/>
      <c r="AK331" s="16"/>
    </row>
    <row r="332" spans="33:37" x14ac:dyDescent="0.25">
      <c r="AG332" s="16" t="s">
        <v>2174</v>
      </c>
      <c r="AH332" s="16">
        <v>329</v>
      </c>
      <c r="AJ332" s="16"/>
      <c r="AK332" s="16"/>
    </row>
    <row r="333" spans="33:37" x14ac:dyDescent="0.25">
      <c r="AG333" s="16" t="s">
        <v>2175</v>
      </c>
      <c r="AH333" s="16">
        <v>330</v>
      </c>
      <c r="AJ333" s="16"/>
      <c r="AK333" s="16"/>
    </row>
    <row r="334" spans="33:37" x14ac:dyDescent="0.25">
      <c r="AG334" s="16" t="s">
        <v>2176</v>
      </c>
      <c r="AH334" s="16">
        <v>331</v>
      </c>
      <c r="AJ334" s="16"/>
      <c r="AK334" s="16"/>
    </row>
    <row r="335" spans="33:37" x14ac:dyDescent="0.25">
      <c r="AG335" s="16" t="s">
        <v>2177</v>
      </c>
      <c r="AH335" s="16">
        <v>332</v>
      </c>
      <c r="AJ335" s="16"/>
      <c r="AK335" s="16"/>
    </row>
    <row r="336" spans="33:37" x14ac:dyDescent="0.25">
      <c r="AG336" s="16" t="s">
        <v>2178</v>
      </c>
      <c r="AH336" s="16">
        <v>333</v>
      </c>
      <c r="AJ336" s="16"/>
      <c r="AK336" s="16"/>
    </row>
    <row r="337" spans="33:37" x14ac:dyDescent="0.25">
      <c r="AG337" s="16" t="s">
        <v>2179</v>
      </c>
      <c r="AH337" s="16">
        <v>334</v>
      </c>
      <c r="AJ337" s="16"/>
      <c r="AK337" s="16"/>
    </row>
    <row r="338" spans="33:37" x14ac:dyDescent="0.25">
      <c r="AG338" s="16" t="s">
        <v>2180</v>
      </c>
      <c r="AH338" s="16">
        <v>335</v>
      </c>
      <c r="AJ338" s="16"/>
      <c r="AK338" s="16"/>
    </row>
    <row r="339" spans="33:37" x14ac:dyDescent="0.25">
      <c r="AG339" s="16" t="s">
        <v>2181</v>
      </c>
      <c r="AH339" s="16">
        <v>336</v>
      </c>
      <c r="AJ339" s="16"/>
      <c r="AK339" s="16"/>
    </row>
    <row r="340" spans="33:37" x14ac:dyDescent="0.25">
      <c r="AG340" s="16" t="s">
        <v>2182</v>
      </c>
      <c r="AH340" s="16">
        <v>337</v>
      </c>
      <c r="AJ340" s="16"/>
      <c r="AK340" s="16"/>
    </row>
    <row r="341" spans="33:37" x14ac:dyDescent="0.25">
      <c r="AG341" s="16" t="s">
        <v>2183</v>
      </c>
      <c r="AH341" s="16">
        <v>338</v>
      </c>
      <c r="AJ341" s="16"/>
      <c r="AK341" s="16"/>
    </row>
    <row r="342" spans="33:37" x14ac:dyDescent="0.25">
      <c r="AG342" s="16" t="s">
        <v>2184</v>
      </c>
      <c r="AH342" s="16">
        <v>339</v>
      </c>
      <c r="AJ342" s="16"/>
      <c r="AK342" s="16"/>
    </row>
    <row r="343" spans="33:37" x14ac:dyDescent="0.25">
      <c r="AG343" s="16" t="s">
        <v>2185</v>
      </c>
      <c r="AH343" s="16">
        <v>340</v>
      </c>
      <c r="AJ343" s="16"/>
      <c r="AK343" s="16"/>
    </row>
    <row r="344" spans="33:37" x14ac:dyDescent="0.25">
      <c r="AG344" s="16" t="s">
        <v>2186</v>
      </c>
      <c r="AH344" s="16">
        <v>341</v>
      </c>
      <c r="AJ344" s="16"/>
      <c r="AK344" s="16"/>
    </row>
    <row r="345" spans="33:37" x14ac:dyDescent="0.25">
      <c r="AG345" s="16" t="s">
        <v>2187</v>
      </c>
      <c r="AH345" s="16">
        <v>342</v>
      </c>
      <c r="AJ345" s="16"/>
      <c r="AK345" s="16"/>
    </row>
    <row r="346" spans="33:37" x14ac:dyDescent="0.25">
      <c r="AG346" s="16" t="s">
        <v>2188</v>
      </c>
      <c r="AH346" s="16">
        <v>343</v>
      </c>
      <c r="AJ346" s="16"/>
      <c r="AK346" s="16"/>
    </row>
    <row r="347" spans="33:37" x14ac:dyDescent="0.25">
      <c r="AG347" s="16" t="s">
        <v>2189</v>
      </c>
      <c r="AH347" s="16">
        <v>344</v>
      </c>
      <c r="AJ347" s="16"/>
      <c r="AK347" s="16"/>
    </row>
    <row r="348" spans="33:37" x14ac:dyDescent="0.25">
      <c r="AG348" s="16" t="s">
        <v>2190</v>
      </c>
      <c r="AH348" s="16">
        <v>345</v>
      </c>
      <c r="AJ348" s="16"/>
      <c r="AK348" s="16"/>
    </row>
    <row r="349" spans="33:37" x14ac:dyDescent="0.25">
      <c r="AG349" s="16" t="s">
        <v>2191</v>
      </c>
      <c r="AH349" s="16">
        <v>346</v>
      </c>
      <c r="AJ349" s="16"/>
      <c r="AK349" s="16"/>
    </row>
    <row r="350" spans="33:37" x14ac:dyDescent="0.25">
      <c r="AG350" s="16" t="s">
        <v>2192</v>
      </c>
      <c r="AH350" s="16">
        <v>347</v>
      </c>
      <c r="AJ350" s="16"/>
      <c r="AK350" s="16"/>
    </row>
    <row r="351" spans="33:37" x14ac:dyDescent="0.25">
      <c r="AG351" s="16" t="s">
        <v>2193</v>
      </c>
      <c r="AH351" s="16">
        <v>348</v>
      </c>
      <c r="AJ351" s="16"/>
      <c r="AK351" s="16"/>
    </row>
    <row r="352" spans="33:37" x14ac:dyDescent="0.25">
      <c r="AG352" s="16" t="s">
        <v>2194</v>
      </c>
      <c r="AH352" s="16">
        <v>349</v>
      </c>
      <c r="AJ352" s="16"/>
      <c r="AK352" s="16"/>
    </row>
    <row r="353" spans="33:37" x14ac:dyDescent="0.25">
      <c r="AG353" s="16" t="s">
        <v>2195</v>
      </c>
      <c r="AH353" s="16">
        <v>350</v>
      </c>
      <c r="AJ353" s="16"/>
      <c r="AK353" s="16"/>
    </row>
    <row r="354" spans="33:37" x14ac:dyDescent="0.25">
      <c r="AG354" s="16" t="s">
        <v>2196</v>
      </c>
      <c r="AH354" s="16">
        <v>351</v>
      </c>
      <c r="AJ354" s="16"/>
      <c r="AK354" s="16"/>
    </row>
    <row r="355" spans="33:37" x14ac:dyDescent="0.25">
      <c r="AG355" s="16" t="s">
        <v>2197</v>
      </c>
      <c r="AH355" s="16">
        <v>352</v>
      </c>
      <c r="AJ355" s="16"/>
      <c r="AK355" s="16"/>
    </row>
    <row r="356" spans="33:37" x14ac:dyDescent="0.25">
      <c r="AG356" s="16" t="s">
        <v>2198</v>
      </c>
      <c r="AH356" s="16">
        <v>353</v>
      </c>
      <c r="AJ356" s="16"/>
      <c r="AK356" s="16"/>
    </row>
    <row r="357" spans="33:37" x14ac:dyDescent="0.25">
      <c r="AG357" s="16" t="s">
        <v>2199</v>
      </c>
      <c r="AH357" s="16">
        <v>354</v>
      </c>
      <c r="AJ357" s="16"/>
      <c r="AK357" s="16"/>
    </row>
    <row r="358" spans="33:37" x14ac:dyDescent="0.25">
      <c r="AG358" s="16" t="s">
        <v>2200</v>
      </c>
      <c r="AH358" s="16">
        <v>355</v>
      </c>
      <c r="AJ358" s="16"/>
      <c r="AK358" s="16"/>
    </row>
    <row r="359" spans="33:37" x14ac:dyDescent="0.25">
      <c r="AG359" s="16" t="s">
        <v>2201</v>
      </c>
      <c r="AH359" s="16">
        <v>356</v>
      </c>
      <c r="AJ359" s="16"/>
      <c r="AK359" s="16"/>
    </row>
    <row r="360" spans="33:37" x14ac:dyDescent="0.25">
      <c r="AG360" s="16" t="s">
        <v>2202</v>
      </c>
      <c r="AH360" s="16">
        <v>357</v>
      </c>
      <c r="AJ360" s="16"/>
      <c r="AK360" s="16"/>
    </row>
    <row r="361" spans="33:37" x14ac:dyDescent="0.25">
      <c r="AG361" s="16" t="s">
        <v>2203</v>
      </c>
      <c r="AH361" s="16">
        <v>358</v>
      </c>
      <c r="AJ361" s="16"/>
      <c r="AK361" s="16"/>
    </row>
    <row r="362" spans="33:37" x14ac:dyDescent="0.25">
      <c r="AG362" s="16" t="s">
        <v>2204</v>
      </c>
      <c r="AH362" s="16">
        <v>359</v>
      </c>
      <c r="AJ362" s="16"/>
      <c r="AK362" s="16"/>
    </row>
    <row r="363" spans="33:37" x14ac:dyDescent="0.25">
      <c r="AG363" s="16" t="s">
        <v>2205</v>
      </c>
      <c r="AH363" s="16">
        <v>360</v>
      </c>
      <c r="AJ363" s="16"/>
      <c r="AK363" s="16"/>
    </row>
    <row r="364" spans="33:37" x14ac:dyDescent="0.25">
      <c r="AG364" s="16" t="s">
        <v>2206</v>
      </c>
      <c r="AH364" s="16">
        <v>361</v>
      </c>
      <c r="AJ364" s="16"/>
      <c r="AK364" s="16"/>
    </row>
    <row r="365" spans="33:37" x14ac:dyDescent="0.25">
      <c r="AG365" s="16" t="s">
        <v>2207</v>
      </c>
      <c r="AH365" s="16">
        <v>362</v>
      </c>
      <c r="AJ365" s="16"/>
      <c r="AK365" s="16"/>
    </row>
    <row r="366" spans="33:37" x14ac:dyDescent="0.25">
      <c r="AG366" s="16" t="s">
        <v>2208</v>
      </c>
      <c r="AH366" s="16">
        <v>363</v>
      </c>
      <c r="AJ366" s="16"/>
      <c r="AK366" s="16"/>
    </row>
    <row r="367" spans="33:37" x14ac:dyDescent="0.25">
      <c r="AG367" s="16" t="s">
        <v>2209</v>
      </c>
      <c r="AH367" s="16">
        <v>364</v>
      </c>
      <c r="AJ367" s="16"/>
      <c r="AK367" s="16"/>
    </row>
    <row r="368" spans="33:37" x14ac:dyDescent="0.25">
      <c r="AG368" s="16" t="s">
        <v>2210</v>
      </c>
      <c r="AH368" s="16">
        <v>365</v>
      </c>
      <c r="AJ368" s="16"/>
      <c r="AK368" s="16"/>
    </row>
    <row r="369" spans="33:37" x14ac:dyDescent="0.25">
      <c r="AG369" s="16" t="s">
        <v>2211</v>
      </c>
      <c r="AH369" s="16">
        <v>366</v>
      </c>
      <c r="AJ369" s="16"/>
      <c r="AK369" s="16"/>
    </row>
    <row r="370" spans="33:37" x14ac:dyDescent="0.25">
      <c r="AG370" s="16" t="s">
        <v>2212</v>
      </c>
      <c r="AH370" s="16">
        <v>367</v>
      </c>
      <c r="AJ370" s="16"/>
      <c r="AK370" s="16"/>
    </row>
    <row r="371" spans="33:37" x14ac:dyDescent="0.25">
      <c r="AG371" s="16" t="s">
        <v>2213</v>
      </c>
      <c r="AH371" s="16">
        <v>368</v>
      </c>
      <c r="AJ371" s="16"/>
      <c r="AK371" s="16"/>
    </row>
    <row r="372" spans="33:37" x14ac:dyDescent="0.25">
      <c r="AG372" s="16" t="s">
        <v>2214</v>
      </c>
      <c r="AH372" s="16">
        <v>369</v>
      </c>
      <c r="AJ372" s="16"/>
      <c r="AK372" s="16"/>
    </row>
    <row r="373" spans="33:37" x14ac:dyDescent="0.25">
      <c r="AG373" s="16" t="s">
        <v>2215</v>
      </c>
      <c r="AH373" s="16">
        <v>370</v>
      </c>
      <c r="AJ373" s="16"/>
      <c r="AK373" s="16"/>
    </row>
    <row r="374" spans="33:37" x14ac:dyDescent="0.25">
      <c r="AG374" s="16" t="s">
        <v>2216</v>
      </c>
      <c r="AH374" s="16">
        <v>371</v>
      </c>
      <c r="AJ374" s="16"/>
      <c r="AK374" s="16"/>
    </row>
    <row r="375" spans="33:37" x14ac:dyDescent="0.25">
      <c r="AG375" s="16" t="s">
        <v>2217</v>
      </c>
      <c r="AH375" s="16">
        <v>372</v>
      </c>
      <c r="AJ375" s="16"/>
      <c r="AK375" s="16"/>
    </row>
    <row r="376" spans="33:37" x14ac:dyDescent="0.25">
      <c r="AG376" s="16" t="s">
        <v>2218</v>
      </c>
      <c r="AH376" s="16">
        <v>373</v>
      </c>
      <c r="AJ376" s="16"/>
      <c r="AK376" s="16"/>
    </row>
    <row r="377" spans="33:37" x14ac:dyDescent="0.25">
      <c r="AG377" s="16" t="s">
        <v>2219</v>
      </c>
      <c r="AH377" s="16">
        <v>374</v>
      </c>
      <c r="AJ377" s="16"/>
      <c r="AK377" s="16"/>
    </row>
    <row r="378" spans="33:37" x14ac:dyDescent="0.25">
      <c r="AG378" s="16" t="s">
        <v>2220</v>
      </c>
      <c r="AH378" s="16">
        <v>375</v>
      </c>
      <c r="AJ378" s="16"/>
      <c r="AK378" s="16"/>
    </row>
    <row r="379" spans="33:37" x14ac:dyDescent="0.25">
      <c r="AG379" s="16" t="s">
        <v>2221</v>
      </c>
      <c r="AH379" s="16">
        <v>376</v>
      </c>
      <c r="AJ379" s="16"/>
      <c r="AK379" s="16"/>
    </row>
    <row r="380" spans="33:37" x14ac:dyDescent="0.25">
      <c r="AG380" s="16" t="s">
        <v>2222</v>
      </c>
      <c r="AH380" s="16">
        <v>377</v>
      </c>
      <c r="AJ380" s="16"/>
      <c r="AK380" s="16"/>
    </row>
    <row r="381" spans="33:37" x14ac:dyDescent="0.25">
      <c r="AG381" s="16" t="s">
        <v>2223</v>
      </c>
      <c r="AH381" s="16">
        <v>378</v>
      </c>
      <c r="AJ381" s="16"/>
      <c r="AK381" s="16"/>
    </row>
    <row r="382" spans="33:37" x14ac:dyDescent="0.25">
      <c r="AG382" s="16" t="s">
        <v>2224</v>
      </c>
      <c r="AH382" s="16">
        <v>379</v>
      </c>
      <c r="AJ382" s="16"/>
      <c r="AK382" s="16"/>
    </row>
    <row r="383" spans="33:37" x14ac:dyDescent="0.25">
      <c r="AG383" s="16" t="s">
        <v>2225</v>
      </c>
      <c r="AH383" s="16">
        <v>380</v>
      </c>
      <c r="AJ383" s="16"/>
      <c r="AK383" s="16"/>
    </row>
    <row r="384" spans="33:37" x14ac:dyDescent="0.25">
      <c r="AG384" s="16" t="s">
        <v>2226</v>
      </c>
      <c r="AH384" s="16">
        <v>381</v>
      </c>
      <c r="AJ384" s="16"/>
      <c r="AK384" s="16"/>
    </row>
    <row r="385" spans="33:37" x14ac:dyDescent="0.25">
      <c r="AG385" s="16" t="s">
        <v>2227</v>
      </c>
      <c r="AH385" s="16">
        <v>382</v>
      </c>
      <c r="AJ385" s="16"/>
      <c r="AK385" s="16"/>
    </row>
    <row r="386" spans="33:37" x14ac:dyDescent="0.25">
      <c r="AG386" s="16" t="s">
        <v>2228</v>
      </c>
      <c r="AH386" s="16">
        <v>383</v>
      </c>
      <c r="AJ386" s="16"/>
      <c r="AK386" s="16"/>
    </row>
    <row r="387" spans="33:37" x14ac:dyDescent="0.25">
      <c r="AG387" s="16" t="s">
        <v>2229</v>
      </c>
      <c r="AH387" s="16">
        <v>384</v>
      </c>
      <c r="AJ387" s="16"/>
      <c r="AK387" s="16"/>
    </row>
    <row r="388" spans="33:37" x14ac:dyDescent="0.25">
      <c r="AG388" s="16" t="s">
        <v>2230</v>
      </c>
      <c r="AH388" s="16">
        <v>385</v>
      </c>
      <c r="AJ388" s="16"/>
      <c r="AK388" s="16"/>
    </row>
    <row r="389" spans="33:37" x14ac:dyDescent="0.25">
      <c r="AG389" s="16" t="s">
        <v>2231</v>
      </c>
      <c r="AH389" s="16">
        <v>386</v>
      </c>
      <c r="AJ389" s="16"/>
      <c r="AK389" s="16"/>
    </row>
    <row r="390" spans="33:37" x14ac:dyDescent="0.25">
      <c r="AG390" s="16" t="s">
        <v>2232</v>
      </c>
      <c r="AH390" s="16">
        <v>387</v>
      </c>
      <c r="AJ390" s="16"/>
      <c r="AK390" s="16"/>
    </row>
    <row r="391" spans="33:37" x14ac:dyDescent="0.25">
      <c r="AG391" s="16" t="s">
        <v>2233</v>
      </c>
      <c r="AH391" s="16">
        <v>388</v>
      </c>
      <c r="AJ391" s="16"/>
      <c r="AK391" s="16"/>
    </row>
    <row r="392" spans="33:37" x14ac:dyDescent="0.25">
      <c r="AG392" s="16" t="s">
        <v>2234</v>
      </c>
      <c r="AH392" s="16">
        <v>389</v>
      </c>
      <c r="AJ392" s="16"/>
      <c r="AK392" s="16"/>
    </row>
    <row r="393" spans="33:37" x14ac:dyDescent="0.25">
      <c r="AG393" s="16" t="s">
        <v>2235</v>
      </c>
      <c r="AH393" s="16">
        <v>390</v>
      </c>
      <c r="AJ393" s="16"/>
      <c r="AK393" s="16"/>
    </row>
    <row r="394" spans="33:37" x14ac:dyDescent="0.25">
      <c r="AG394" s="16" t="s">
        <v>2236</v>
      </c>
      <c r="AH394" s="16">
        <v>391</v>
      </c>
      <c r="AJ394" s="16"/>
      <c r="AK394" s="16"/>
    </row>
    <row r="395" spans="33:37" x14ac:dyDescent="0.25">
      <c r="AG395" s="16" t="s">
        <v>2237</v>
      </c>
      <c r="AH395" s="16">
        <v>392</v>
      </c>
      <c r="AJ395" s="16"/>
      <c r="AK395" s="16"/>
    </row>
    <row r="396" spans="33:37" x14ac:dyDescent="0.25">
      <c r="AG396" s="16" t="s">
        <v>2238</v>
      </c>
      <c r="AH396" s="16">
        <v>393</v>
      </c>
      <c r="AJ396" s="16"/>
      <c r="AK396" s="16"/>
    </row>
    <row r="397" spans="33:37" x14ac:dyDescent="0.25">
      <c r="AG397" s="16" t="s">
        <v>2239</v>
      </c>
      <c r="AH397" s="16">
        <v>394</v>
      </c>
      <c r="AJ397" s="16"/>
      <c r="AK397" s="16"/>
    </row>
    <row r="398" spans="33:37" x14ac:dyDescent="0.25">
      <c r="AG398" s="16" t="s">
        <v>2240</v>
      </c>
      <c r="AH398" s="16">
        <v>395</v>
      </c>
      <c r="AJ398" s="16"/>
      <c r="AK398" s="16"/>
    </row>
    <row r="399" spans="33:37" x14ac:dyDescent="0.25">
      <c r="AG399" s="16" t="s">
        <v>2241</v>
      </c>
      <c r="AH399" s="16">
        <v>396</v>
      </c>
      <c r="AJ399" s="16"/>
      <c r="AK399" s="16"/>
    </row>
    <row r="400" spans="33:37" x14ac:dyDescent="0.25">
      <c r="AG400" s="16" t="s">
        <v>2242</v>
      </c>
      <c r="AH400" s="16">
        <v>397</v>
      </c>
      <c r="AJ400" s="16"/>
      <c r="AK400" s="16"/>
    </row>
    <row r="401" spans="33:37" x14ac:dyDescent="0.25">
      <c r="AG401" s="16" t="s">
        <v>1334</v>
      </c>
      <c r="AH401" s="16">
        <v>398</v>
      </c>
      <c r="AJ401" s="16"/>
      <c r="AK401" s="16"/>
    </row>
    <row r="402" spans="33:37" x14ac:dyDescent="0.25">
      <c r="AG402" s="16" t="s">
        <v>2243</v>
      </c>
      <c r="AH402" s="16">
        <v>399</v>
      </c>
      <c r="AJ402" s="16"/>
      <c r="AK402" s="16"/>
    </row>
    <row r="403" spans="33:37" x14ac:dyDescent="0.25">
      <c r="AG403" s="16" t="s">
        <v>2244</v>
      </c>
      <c r="AH403" s="16">
        <v>400</v>
      </c>
      <c r="AJ403" s="16"/>
      <c r="AK403" s="16"/>
    </row>
    <row r="404" spans="33:37" x14ac:dyDescent="0.25">
      <c r="AG404" s="16" t="s">
        <v>2245</v>
      </c>
      <c r="AH404" s="16">
        <v>401</v>
      </c>
      <c r="AJ404" s="16"/>
      <c r="AK404" s="16"/>
    </row>
    <row r="405" spans="33:37" x14ac:dyDescent="0.25">
      <c r="AG405" s="16" t="s">
        <v>2246</v>
      </c>
      <c r="AH405" s="16">
        <v>402</v>
      </c>
      <c r="AJ405" s="16"/>
      <c r="AK405" s="16"/>
    </row>
    <row r="406" spans="33:37" x14ac:dyDescent="0.25">
      <c r="AG406" s="16" t="s">
        <v>2247</v>
      </c>
      <c r="AH406" s="16">
        <v>403</v>
      </c>
      <c r="AJ406" s="16"/>
      <c r="AK406" s="16"/>
    </row>
    <row r="407" spans="33:37" x14ac:dyDescent="0.25">
      <c r="AG407" s="16" t="s">
        <v>2248</v>
      </c>
      <c r="AH407" s="16">
        <v>404</v>
      </c>
      <c r="AJ407" s="16"/>
      <c r="AK407" s="16"/>
    </row>
    <row r="408" spans="33:37" x14ac:dyDescent="0.25">
      <c r="AG408" s="16" t="s">
        <v>2249</v>
      </c>
      <c r="AH408" s="16">
        <v>405</v>
      </c>
      <c r="AJ408" s="16"/>
      <c r="AK408" s="16"/>
    </row>
    <row r="409" spans="33:37" x14ac:dyDescent="0.25">
      <c r="AG409" s="16" t="s">
        <v>2250</v>
      </c>
      <c r="AH409" s="16">
        <v>406</v>
      </c>
      <c r="AJ409" s="16"/>
      <c r="AK409" s="16"/>
    </row>
    <row r="410" spans="33:37" x14ac:dyDescent="0.25">
      <c r="AG410" s="16" t="s">
        <v>2251</v>
      </c>
      <c r="AH410" s="16">
        <v>407</v>
      </c>
      <c r="AJ410" s="16"/>
      <c r="AK410" s="16"/>
    </row>
    <row r="411" spans="33:37" x14ac:dyDescent="0.25">
      <c r="AG411" s="16" t="s">
        <v>2252</v>
      </c>
      <c r="AH411" s="16">
        <v>408</v>
      </c>
      <c r="AJ411" s="16"/>
      <c r="AK411" s="16"/>
    </row>
    <row r="412" spans="33:37" x14ac:dyDescent="0.25">
      <c r="AG412" s="16" t="s">
        <v>2253</v>
      </c>
      <c r="AH412" s="16">
        <v>409</v>
      </c>
      <c r="AJ412" s="16"/>
      <c r="AK412" s="16"/>
    </row>
    <row r="413" spans="33:37" x14ac:dyDescent="0.25">
      <c r="AG413" s="16" t="s">
        <v>2254</v>
      </c>
      <c r="AH413" s="16">
        <v>410</v>
      </c>
      <c r="AJ413" s="16"/>
      <c r="AK413" s="16"/>
    </row>
    <row r="414" spans="33:37" x14ac:dyDescent="0.25">
      <c r="AG414" s="16" t="s">
        <v>2255</v>
      </c>
      <c r="AH414" s="16">
        <v>411</v>
      </c>
      <c r="AJ414" s="16"/>
      <c r="AK414" s="16"/>
    </row>
    <row r="415" spans="33:37" x14ac:dyDescent="0.25">
      <c r="AG415" s="16" t="s">
        <v>2256</v>
      </c>
      <c r="AH415" s="16">
        <v>412</v>
      </c>
      <c r="AJ415" s="16"/>
      <c r="AK415" s="16"/>
    </row>
    <row r="416" spans="33:37" x14ac:dyDescent="0.25">
      <c r="AG416" s="16" t="s">
        <v>2257</v>
      </c>
      <c r="AH416" s="16">
        <v>413</v>
      </c>
      <c r="AJ416" s="16"/>
      <c r="AK416" s="16"/>
    </row>
    <row r="417" spans="33:37" x14ac:dyDescent="0.25">
      <c r="AG417" s="16" t="s">
        <v>2258</v>
      </c>
      <c r="AH417" s="16">
        <v>414</v>
      </c>
      <c r="AJ417" s="16"/>
      <c r="AK417" s="16"/>
    </row>
    <row r="418" spans="33:37" x14ac:dyDescent="0.25">
      <c r="AG418" s="16" t="s">
        <v>2259</v>
      </c>
      <c r="AH418" s="16">
        <v>415</v>
      </c>
      <c r="AJ418" s="16"/>
      <c r="AK418" s="16"/>
    </row>
    <row r="419" spans="33:37" x14ac:dyDescent="0.25">
      <c r="AG419" s="16" t="s">
        <v>2260</v>
      </c>
      <c r="AH419" s="16">
        <v>416</v>
      </c>
      <c r="AJ419" s="16"/>
      <c r="AK419" s="16"/>
    </row>
    <row r="420" spans="33:37" x14ac:dyDescent="0.25">
      <c r="AG420" s="16" t="s">
        <v>2261</v>
      </c>
      <c r="AH420" s="16">
        <v>417</v>
      </c>
      <c r="AJ420" s="16"/>
      <c r="AK420" s="16"/>
    </row>
    <row r="421" spans="33:37" x14ac:dyDescent="0.25">
      <c r="AG421" s="16" t="s">
        <v>2262</v>
      </c>
      <c r="AH421" s="16">
        <v>418</v>
      </c>
      <c r="AJ421" s="16"/>
      <c r="AK421" s="16"/>
    </row>
    <row r="422" spans="33:37" x14ac:dyDescent="0.25">
      <c r="AG422" s="16" t="s">
        <v>2263</v>
      </c>
      <c r="AH422" s="16">
        <v>419</v>
      </c>
      <c r="AJ422" s="16"/>
      <c r="AK422" s="16"/>
    </row>
    <row r="423" spans="33:37" x14ac:dyDescent="0.25">
      <c r="AG423" s="16" t="s">
        <v>2264</v>
      </c>
      <c r="AH423" s="16">
        <v>420</v>
      </c>
      <c r="AJ423" s="16"/>
      <c r="AK423" s="16"/>
    </row>
    <row r="424" spans="33:37" x14ac:dyDescent="0.25">
      <c r="AG424" s="16" t="s">
        <v>2265</v>
      </c>
      <c r="AH424" s="16">
        <v>421</v>
      </c>
      <c r="AJ424" s="16"/>
      <c r="AK424" s="16"/>
    </row>
    <row r="425" spans="33:37" x14ac:dyDescent="0.25">
      <c r="AG425" s="16" t="s">
        <v>2266</v>
      </c>
      <c r="AH425" s="16">
        <v>422</v>
      </c>
      <c r="AJ425" s="16"/>
      <c r="AK425" s="16"/>
    </row>
    <row r="426" spans="33:37" x14ac:dyDescent="0.25">
      <c r="AG426" s="16" t="s">
        <v>2267</v>
      </c>
      <c r="AH426" s="16">
        <v>423</v>
      </c>
      <c r="AJ426" s="16"/>
      <c r="AK426" s="16"/>
    </row>
    <row r="427" spans="33:37" x14ac:dyDescent="0.25">
      <c r="AG427" s="16" t="s">
        <v>2268</v>
      </c>
      <c r="AH427" s="16">
        <v>424</v>
      </c>
      <c r="AJ427" s="16"/>
      <c r="AK427" s="16"/>
    </row>
    <row r="428" spans="33:37" x14ac:dyDescent="0.25">
      <c r="AG428" s="16" t="s">
        <v>2269</v>
      </c>
      <c r="AH428" s="16">
        <v>425</v>
      </c>
      <c r="AJ428" s="16"/>
      <c r="AK428" s="16"/>
    </row>
    <row r="429" spans="33:37" x14ac:dyDescent="0.25">
      <c r="AG429" s="16" t="s">
        <v>2270</v>
      </c>
      <c r="AH429" s="16">
        <v>426</v>
      </c>
      <c r="AJ429" s="16"/>
      <c r="AK429" s="16"/>
    </row>
    <row r="430" spans="33:37" x14ac:dyDescent="0.25">
      <c r="AG430" s="16" t="s">
        <v>2271</v>
      </c>
      <c r="AH430" s="16">
        <v>427</v>
      </c>
      <c r="AJ430" s="16"/>
      <c r="AK430" s="16"/>
    </row>
    <row r="431" spans="33:37" x14ac:dyDescent="0.25">
      <c r="AG431" s="16" t="s">
        <v>2272</v>
      </c>
      <c r="AH431" s="16">
        <v>428</v>
      </c>
      <c r="AJ431" s="16"/>
      <c r="AK431" s="16"/>
    </row>
    <row r="432" spans="33:37" x14ac:dyDescent="0.25">
      <c r="AG432" s="16" t="s">
        <v>2273</v>
      </c>
      <c r="AH432" s="16">
        <v>429</v>
      </c>
      <c r="AJ432" s="16"/>
      <c r="AK432" s="16"/>
    </row>
    <row r="433" spans="33:37" x14ac:dyDescent="0.25">
      <c r="AG433" s="16" t="s">
        <v>2274</v>
      </c>
      <c r="AH433" s="16">
        <v>430</v>
      </c>
      <c r="AJ433" s="16"/>
      <c r="AK433" s="16"/>
    </row>
    <row r="434" spans="33:37" x14ac:dyDescent="0.25">
      <c r="AG434" s="16" t="s">
        <v>2275</v>
      </c>
      <c r="AH434" s="16">
        <v>431</v>
      </c>
      <c r="AJ434" s="16"/>
      <c r="AK434" s="16"/>
    </row>
    <row r="435" spans="33:37" x14ac:dyDescent="0.25">
      <c r="AG435" s="16" t="s">
        <v>2276</v>
      </c>
      <c r="AH435" s="16">
        <v>432</v>
      </c>
      <c r="AJ435" s="16"/>
      <c r="AK435" s="16"/>
    </row>
    <row r="436" spans="33:37" x14ac:dyDescent="0.25">
      <c r="AG436" s="16" t="s">
        <v>2277</v>
      </c>
      <c r="AH436" s="16">
        <v>433</v>
      </c>
      <c r="AJ436" s="16"/>
      <c r="AK436" s="16"/>
    </row>
    <row r="437" spans="33:37" x14ac:dyDescent="0.25">
      <c r="AG437" s="16" t="s">
        <v>2278</v>
      </c>
      <c r="AH437" s="16">
        <v>434</v>
      </c>
      <c r="AJ437" s="16"/>
      <c r="AK437" s="16"/>
    </row>
    <row r="438" spans="33:37" x14ac:dyDescent="0.25">
      <c r="AG438" s="16" t="s">
        <v>2279</v>
      </c>
      <c r="AH438" s="16">
        <v>435</v>
      </c>
      <c r="AJ438" s="16"/>
      <c r="AK438" s="16"/>
    </row>
    <row r="439" spans="33:37" x14ac:dyDescent="0.25">
      <c r="AG439" s="16" t="s">
        <v>1444</v>
      </c>
      <c r="AH439" s="16">
        <v>436</v>
      </c>
      <c r="AJ439" s="16"/>
      <c r="AK439" s="16"/>
    </row>
    <row r="440" spans="33:37" x14ac:dyDescent="0.25">
      <c r="AG440" s="16" t="s">
        <v>2280</v>
      </c>
      <c r="AH440" s="16">
        <v>437</v>
      </c>
      <c r="AJ440" s="16"/>
      <c r="AK440" s="16"/>
    </row>
    <row r="441" spans="33:37" x14ac:dyDescent="0.25">
      <c r="AG441" s="16" t="s">
        <v>2281</v>
      </c>
      <c r="AH441" s="16">
        <v>438</v>
      </c>
      <c r="AJ441" s="16"/>
      <c r="AK441" s="16"/>
    </row>
    <row r="442" spans="33:37" x14ac:dyDescent="0.25">
      <c r="AG442" s="16" t="s">
        <v>2282</v>
      </c>
      <c r="AH442" s="16">
        <v>439</v>
      </c>
      <c r="AJ442" s="16"/>
      <c r="AK442" s="16"/>
    </row>
    <row r="443" spans="33:37" x14ac:dyDescent="0.25">
      <c r="AG443" s="16" t="s">
        <v>2283</v>
      </c>
      <c r="AH443" s="16">
        <v>440</v>
      </c>
      <c r="AJ443" s="16"/>
      <c r="AK443" s="16"/>
    </row>
    <row r="444" spans="33:37" x14ac:dyDescent="0.25">
      <c r="AG444" s="16" t="s">
        <v>2284</v>
      </c>
      <c r="AH444" s="16">
        <v>441</v>
      </c>
      <c r="AJ444" s="16"/>
      <c r="AK444" s="16"/>
    </row>
    <row r="445" spans="33:37" x14ac:dyDescent="0.25">
      <c r="AG445" s="16" t="s">
        <v>2285</v>
      </c>
      <c r="AH445" s="16">
        <v>442</v>
      </c>
      <c r="AJ445" s="16"/>
      <c r="AK445" s="16"/>
    </row>
    <row r="446" spans="33:37" x14ac:dyDescent="0.25">
      <c r="AG446" s="16" t="s">
        <v>2286</v>
      </c>
      <c r="AH446" s="16">
        <v>443</v>
      </c>
      <c r="AJ446" s="16"/>
      <c r="AK446" s="16"/>
    </row>
    <row r="447" spans="33:37" x14ac:dyDescent="0.25">
      <c r="AG447" s="16" t="s">
        <v>1168</v>
      </c>
      <c r="AH447" s="16">
        <v>444</v>
      </c>
      <c r="AJ447" s="16"/>
      <c r="AK447" s="16"/>
    </row>
    <row r="448" spans="33:37" x14ac:dyDescent="0.25">
      <c r="AG448" s="16" t="s">
        <v>2287</v>
      </c>
      <c r="AH448" s="16">
        <v>445</v>
      </c>
      <c r="AJ448" s="16"/>
      <c r="AK448" s="16"/>
    </row>
    <row r="449" spans="33:37" x14ac:dyDescent="0.25">
      <c r="AG449" s="16" t="s">
        <v>2288</v>
      </c>
      <c r="AH449" s="16">
        <v>446</v>
      </c>
      <c r="AJ449" s="16"/>
      <c r="AK449" s="16"/>
    </row>
    <row r="450" spans="33:37" x14ac:dyDescent="0.25">
      <c r="AG450" s="16" t="s">
        <v>2289</v>
      </c>
      <c r="AH450" s="16">
        <v>447</v>
      </c>
      <c r="AJ450" s="16"/>
      <c r="AK450" s="16"/>
    </row>
    <row r="451" spans="33:37" x14ac:dyDescent="0.25">
      <c r="AG451" s="16" t="s">
        <v>2290</v>
      </c>
      <c r="AH451" s="16">
        <v>448</v>
      </c>
      <c r="AJ451" s="16"/>
      <c r="AK451" s="16"/>
    </row>
    <row r="452" spans="33:37" x14ac:dyDescent="0.25">
      <c r="AG452" s="16" t="s">
        <v>2291</v>
      </c>
      <c r="AH452" s="16">
        <v>449</v>
      </c>
      <c r="AJ452" s="16"/>
      <c r="AK452" s="16"/>
    </row>
    <row r="453" spans="33:37" x14ac:dyDescent="0.25">
      <c r="AG453" s="16" t="s">
        <v>2292</v>
      </c>
      <c r="AH453" s="16">
        <v>450</v>
      </c>
      <c r="AJ453" s="16"/>
      <c r="AK453" s="16"/>
    </row>
    <row r="454" spans="33:37" x14ac:dyDescent="0.25">
      <c r="AG454" s="16" t="s">
        <v>2293</v>
      </c>
      <c r="AH454" s="16">
        <v>451</v>
      </c>
      <c r="AJ454" s="16"/>
      <c r="AK454" s="16"/>
    </row>
    <row r="455" spans="33:37" x14ac:dyDescent="0.25">
      <c r="AG455" s="16" t="s">
        <v>1735</v>
      </c>
      <c r="AH455" s="16">
        <v>452</v>
      </c>
      <c r="AJ455" s="16"/>
      <c r="AK455" s="16"/>
    </row>
    <row r="456" spans="33:37" x14ac:dyDescent="0.25">
      <c r="AG456" s="16" t="s">
        <v>833</v>
      </c>
      <c r="AH456" s="16">
        <v>453</v>
      </c>
      <c r="AJ456" s="16"/>
      <c r="AK456" s="16"/>
    </row>
    <row r="457" spans="33:37" x14ac:dyDescent="0.25">
      <c r="AG457" s="16" t="s">
        <v>2294</v>
      </c>
      <c r="AH457" s="16">
        <v>454</v>
      </c>
      <c r="AJ457" s="16"/>
      <c r="AK457" s="16"/>
    </row>
    <row r="458" spans="33:37" x14ac:dyDescent="0.25">
      <c r="AG458" s="16" t="s">
        <v>2295</v>
      </c>
      <c r="AH458" s="16">
        <v>455</v>
      </c>
      <c r="AJ458" s="16"/>
      <c r="AK458" s="16"/>
    </row>
    <row r="459" spans="33:37" x14ac:dyDescent="0.25">
      <c r="AG459" s="16" t="s">
        <v>2296</v>
      </c>
      <c r="AH459" s="16">
        <v>456</v>
      </c>
      <c r="AJ459" s="16"/>
      <c r="AK459" s="16"/>
    </row>
    <row r="460" spans="33:37" x14ac:dyDescent="0.25">
      <c r="AG460" s="16" t="s">
        <v>2297</v>
      </c>
      <c r="AH460" s="16">
        <v>457</v>
      </c>
      <c r="AJ460" s="16"/>
      <c r="AK460" s="16"/>
    </row>
    <row r="461" spans="33:37" x14ac:dyDescent="0.25">
      <c r="AG461" s="16" t="s">
        <v>2298</v>
      </c>
      <c r="AH461" s="16">
        <v>458</v>
      </c>
      <c r="AJ461" s="16"/>
      <c r="AK461" s="16"/>
    </row>
    <row r="462" spans="33:37" x14ac:dyDescent="0.25">
      <c r="AG462" s="16" t="s">
        <v>2299</v>
      </c>
      <c r="AH462" s="16">
        <v>459</v>
      </c>
      <c r="AJ462" s="16"/>
      <c r="AK462" s="16"/>
    </row>
    <row r="463" spans="33:37" x14ac:dyDescent="0.25">
      <c r="AG463" s="16" t="s">
        <v>2300</v>
      </c>
      <c r="AH463" s="16">
        <v>460</v>
      </c>
      <c r="AJ463" s="16"/>
      <c r="AK463" s="16"/>
    </row>
    <row r="464" spans="33:37" x14ac:dyDescent="0.25">
      <c r="AG464" s="16" t="s">
        <v>2301</v>
      </c>
      <c r="AH464" s="16">
        <v>461</v>
      </c>
      <c r="AJ464" s="16"/>
      <c r="AK464" s="16"/>
    </row>
    <row r="465" spans="33:37" x14ac:dyDescent="0.25">
      <c r="AG465" s="16" t="s">
        <v>2302</v>
      </c>
      <c r="AH465" s="16">
        <v>462</v>
      </c>
      <c r="AJ465" s="16"/>
      <c r="AK465" s="16"/>
    </row>
    <row r="466" spans="33:37" x14ac:dyDescent="0.25">
      <c r="AG466" s="16" t="s">
        <v>2303</v>
      </c>
      <c r="AH466" s="16">
        <v>463</v>
      </c>
      <c r="AJ466" s="16"/>
      <c r="AK466" s="16"/>
    </row>
    <row r="467" spans="33:37" x14ac:dyDescent="0.25">
      <c r="AG467" s="16" t="s">
        <v>2304</v>
      </c>
      <c r="AH467" s="16">
        <v>464</v>
      </c>
      <c r="AJ467" s="16"/>
      <c r="AK467" s="16"/>
    </row>
    <row r="468" spans="33:37" x14ac:dyDescent="0.25">
      <c r="AG468" s="16" t="s">
        <v>2305</v>
      </c>
      <c r="AH468" s="16">
        <v>465</v>
      </c>
      <c r="AJ468" s="16"/>
      <c r="AK468" s="16"/>
    </row>
    <row r="469" spans="33:37" x14ac:dyDescent="0.25">
      <c r="AG469" s="16" t="s">
        <v>2306</v>
      </c>
      <c r="AH469" s="16">
        <v>466</v>
      </c>
      <c r="AJ469" s="16"/>
      <c r="AK469" s="16"/>
    </row>
    <row r="470" spans="33:37" x14ac:dyDescent="0.25">
      <c r="AG470" s="16" t="s">
        <v>2307</v>
      </c>
      <c r="AH470" s="16">
        <v>467</v>
      </c>
      <c r="AJ470" s="16"/>
      <c r="AK470" s="16"/>
    </row>
    <row r="471" spans="33:37" x14ac:dyDescent="0.25">
      <c r="AG471" s="16" t="s">
        <v>1250</v>
      </c>
      <c r="AH471" s="16">
        <v>468</v>
      </c>
      <c r="AJ471" s="16"/>
      <c r="AK471" s="16"/>
    </row>
    <row r="472" spans="33:37" x14ac:dyDescent="0.25">
      <c r="AG472" s="16" t="s">
        <v>2308</v>
      </c>
      <c r="AH472" s="16">
        <v>469</v>
      </c>
      <c r="AJ472" s="16"/>
      <c r="AK472" s="16"/>
    </row>
    <row r="473" spans="33:37" x14ac:dyDescent="0.25">
      <c r="AG473" s="16" t="s">
        <v>2309</v>
      </c>
      <c r="AH473" s="16">
        <v>470</v>
      </c>
      <c r="AJ473" s="16"/>
      <c r="AK473" s="16"/>
    </row>
    <row r="474" spans="33:37" x14ac:dyDescent="0.25">
      <c r="AG474" s="16" t="s">
        <v>2310</v>
      </c>
      <c r="AH474" s="16">
        <v>471</v>
      </c>
      <c r="AJ474" s="16"/>
      <c r="AK474" s="16"/>
    </row>
    <row r="475" spans="33:37" x14ac:dyDescent="0.25">
      <c r="AG475" s="16" t="s">
        <v>2311</v>
      </c>
      <c r="AH475" s="16">
        <v>472</v>
      </c>
      <c r="AJ475" s="16"/>
      <c r="AK475" s="16"/>
    </row>
    <row r="476" spans="33:37" x14ac:dyDescent="0.25">
      <c r="AG476" s="16" t="s">
        <v>2312</v>
      </c>
      <c r="AH476" s="16">
        <v>473</v>
      </c>
      <c r="AJ476" s="16"/>
      <c r="AK476" s="16"/>
    </row>
    <row r="477" spans="33:37" x14ac:dyDescent="0.25">
      <c r="AG477" s="16" t="s">
        <v>2313</v>
      </c>
      <c r="AH477" s="16">
        <v>474</v>
      </c>
      <c r="AJ477" s="16"/>
      <c r="AK477" s="16"/>
    </row>
    <row r="478" spans="33:37" x14ac:dyDescent="0.25">
      <c r="AG478" s="16" t="s">
        <v>2314</v>
      </c>
      <c r="AH478" s="16">
        <v>475</v>
      </c>
      <c r="AJ478" s="16"/>
      <c r="AK478" s="16"/>
    </row>
    <row r="479" spans="33:37" x14ac:dyDescent="0.25">
      <c r="AG479" s="16" t="s">
        <v>2315</v>
      </c>
      <c r="AH479" s="16">
        <v>476</v>
      </c>
      <c r="AJ479" s="16"/>
      <c r="AK479" s="16"/>
    </row>
    <row r="480" spans="33:37" x14ac:dyDescent="0.25">
      <c r="AG480" s="16" t="s">
        <v>2316</v>
      </c>
      <c r="AH480" s="16">
        <v>477</v>
      </c>
      <c r="AJ480" s="16"/>
      <c r="AK480" s="16"/>
    </row>
    <row r="481" spans="33:37" x14ac:dyDescent="0.25">
      <c r="AG481" s="16" t="s">
        <v>2317</v>
      </c>
      <c r="AH481" s="16">
        <v>478</v>
      </c>
      <c r="AJ481" s="16"/>
      <c r="AK481" s="16"/>
    </row>
    <row r="482" spans="33:37" x14ac:dyDescent="0.25">
      <c r="AG482" s="16" t="s">
        <v>2318</v>
      </c>
      <c r="AH482" s="16">
        <v>479</v>
      </c>
      <c r="AJ482" s="16"/>
      <c r="AK482" s="16"/>
    </row>
    <row r="483" spans="33:37" x14ac:dyDescent="0.25">
      <c r="AG483" s="16" t="s">
        <v>2319</v>
      </c>
      <c r="AH483" s="16">
        <v>480</v>
      </c>
      <c r="AJ483" s="16"/>
      <c r="AK483" s="16"/>
    </row>
    <row r="484" spans="33:37" x14ac:dyDescent="0.25">
      <c r="AG484" s="16" t="s">
        <v>2320</v>
      </c>
      <c r="AH484" s="16">
        <v>481</v>
      </c>
      <c r="AJ484" s="16"/>
      <c r="AK484" s="16"/>
    </row>
    <row r="485" spans="33:37" x14ac:dyDescent="0.25">
      <c r="AG485" s="16" t="s">
        <v>2321</v>
      </c>
      <c r="AH485" s="16">
        <v>482</v>
      </c>
      <c r="AJ485" s="16"/>
      <c r="AK485" s="16"/>
    </row>
    <row r="486" spans="33:37" x14ac:dyDescent="0.25">
      <c r="AG486" s="16" t="s">
        <v>2322</v>
      </c>
      <c r="AH486" s="16">
        <v>483</v>
      </c>
      <c r="AJ486" s="16"/>
      <c r="AK486" s="16"/>
    </row>
    <row r="487" spans="33:37" x14ac:dyDescent="0.25">
      <c r="AG487" s="16" t="s">
        <v>2323</v>
      </c>
      <c r="AH487" s="16">
        <v>484</v>
      </c>
      <c r="AJ487" s="16"/>
      <c r="AK487" s="16"/>
    </row>
    <row r="488" spans="33:37" x14ac:dyDescent="0.25">
      <c r="AG488" s="16" t="s">
        <v>2324</v>
      </c>
      <c r="AH488" s="16">
        <v>485</v>
      </c>
      <c r="AJ488" s="16"/>
      <c r="AK488" s="16"/>
    </row>
    <row r="489" spans="33:37" x14ac:dyDescent="0.25">
      <c r="AG489" s="16" t="s">
        <v>2325</v>
      </c>
      <c r="AH489" s="16">
        <v>486</v>
      </c>
      <c r="AJ489" s="16"/>
      <c r="AK489" s="16"/>
    </row>
    <row r="490" spans="33:37" x14ac:dyDescent="0.25">
      <c r="AG490" s="16" t="s">
        <v>2326</v>
      </c>
      <c r="AH490" s="16">
        <v>487</v>
      </c>
      <c r="AJ490" s="16"/>
      <c r="AK490" s="16"/>
    </row>
    <row r="491" spans="33:37" x14ac:dyDescent="0.25">
      <c r="AG491" s="16" t="s">
        <v>2327</v>
      </c>
      <c r="AH491" s="16">
        <v>488</v>
      </c>
      <c r="AJ491" s="16"/>
      <c r="AK491" s="16"/>
    </row>
    <row r="492" spans="33:37" x14ac:dyDescent="0.25">
      <c r="AG492" s="16" t="s">
        <v>2328</v>
      </c>
      <c r="AH492" s="16">
        <v>489</v>
      </c>
      <c r="AJ492" s="16"/>
      <c r="AK492" s="16"/>
    </row>
    <row r="493" spans="33:37" x14ac:dyDescent="0.25">
      <c r="AG493" s="16" t="s">
        <v>2329</v>
      </c>
      <c r="AH493" s="16">
        <v>490</v>
      </c>
      <c r="AJ493" s="16"/>
      <c r="AK493" s="16"/>
    </row>
    <row r="494" spans="33:37" x14ac:dyDescent="0.25">
      <c r="AG494" s="16" t="s">
        <v>2330</v>
      </c>
      <c r="AH494" s="16">
        <v>491</v>
      </c>
      <c r="AJ494" s="16"/>
      <c r="AK494" s="16"/>
    </row>
    <row r="495" spans="33:37" x14ac:dyDescent="0.25">
      <c r="AG495" s="16" t="s">
        <v>2331</v>
      </c>
      <c r="AH495" s="16">
        <v>492</v>
      </c>
      <c r="AJ495" s="16"/>
      <c r="AK495" s="16"/>
    </row>
    <row r="496" spans="33:37" x14ac:dyDescent="0.25">
      <c r="AG496" s="16" t="s">
        <v>2332</v>
      </c>
      <c r="AH496" s="16">
        <v>493</v>
      </c>
      <c r="AJ496" s="16"/>
      <c r="AK496" s="16"/>
    </row>
    <row r="497" spans="33:37" x14ac:dyDescent="0.25">
      <c r="AG497" s="16" t="s">
        <v>2333</v>
      </c>
      <c r="AH497" s="16">
        <v>494</v>
      </c>
      <c r="AJ497" s="16"/>
      <c r="AK497" s="16"/>
    </row>
    <row r="498" spans="33:37" x14ac:dyDescent="0.25">
      <c r="AG498" s="16" t="s">
        <v>2334</v>
      </c>
      <c r="AH498" s="16">
        <v>495</v>
      </c>
      <c r="AJ498" s="16"/>
      <c r="AK498" s="16"/>
    </row>
    <row r="499" spans="33:37" x14ac:dyDescent="0.25">
      <c r="AG499" s="16" t="s">
        <v>2335</v>
      </c>
      <c r="AH499" s="16">
        <v>496</v>
      </c>
      <c r="AJ499" s="16"/>
      <c r="AK499" s="16"/>
    </row>
    <row r="500" spans="33:37" x14ac:dyDescent="0.25">
      <c r="AG500" s="16" t="s">
        <v>2336</v>
      </c>
      <c r="AH500" s="16">
        <v>497</v>
      </c>
      <c r="AJ500" s="16"/>
      <c r="AK500" s="16"/>
    </row>
    <row r="501" spans="33:37" x14ac:dyDescent="0.25">
      <c r="AG501" s="16" t="s">
        <v>2337</v>
      </c>
      <c r="AH501" s="16">
        <v>498</v>
      </c>
      <c r="AJ501" s="16"/>
      <c r="AK501" s="16"/>
    </row>
    <row r="502" spans="33:37" x14ac:dyDescent="0.25">
      <c r="AG502" s="16" t="s">
        <v>2338</v>
      </c>
      <c r="AH502" s="16">
        <v>499</v>
      </c>
      <c r="AJ502" s="16"/>
      <c r="AK502" s="16"/>
    </row>
    <row r="503" spans="33:37" x14ac:dyDescent="0.25">
      <c r="AG503" s="16" t="s">
        <v>2339</v>
      </c>
      <c r="AH503" s="16">
        <v>500</v>
      </c>
      <c r="AJ503" s="16"/>
      <c r="AK503" s="16"/>
    </row>
    <row r="504" spans="33:37" x14ac:dyDescent="0.25">
      <c r="AG504" s="16" t="s">
        <v>2340</v>
      </c>
      <c r="AH504" s="16">
        <v>501</v>
      </c>
      <c r="AJ504" s="16"/>
      <c r="AK504" s="16"/>
    </row>
    <row r="505" spans="33:37" x14ac:dyDescent="0.25">
      <c r="AG505" s="16" t="s">
        <v>2341</v>
      </c>
      <c r="AH505" s="16">
        <v>502</v>
      </c>
      <c r="AJ505" s="16"/>
      <c r="AK505" s="16"/>
    </row>
    <row r="506" spans="33:37" x14ac:dyDescent="0.25">
      <c r="AG506" s="16" t="s">
        <v>2342</v>
      </c>
      <c r="AH506" s="16">
        <v>503</v>
      </c>
      <c r="AJ506" s="16"/>
      <c r="AK506" s="16"/>
    </row>
    <row r="507" spans="33:37" x14ac:dyDescent="0.25">
      <c r="AG507" s="16" t="s">
        <v>2343</v>
      </c>
      <c r="AH507" s="16">
        <v>504</v>
      </c>
      <c r="AJ507" s="16"/>
      <c r="AK507" s="16"/>
    </row>
    <row r="508" spans="33:37" x14ac:dyDescent="0.25">
      <c r="AG508" s="16" t="s">
        <v>2344</v>
      </c>
      <c r="AH508" s="16">
        <v>505</v>
      </c>
      <c r="AJ508" s="16"/>
      <c r="AK508" s="16"/>
    </row>
    <row r="509" spans="33:37" x14ac:dyDescent="0.25">
      <c r="AG509" s="16" t="s">
        <v>2345</v>
      </c>
      <c r="AH509" s="16">
        <v>506</v>
      </c>
      <c r="AJ509" s="16"/>
      <c r="AK509" s="16"/>
    </row>
    <row r="510" spans="33:37" x14ac:dyDescent="0.25">
      <c r="AG510" s="16" t="s">
        <v>2346</v>
      </c>
      <c r="AH510" s="16">
        <v>507</v>
      </c>
      <c r="AJ510" s="16"/>
      <c r="AK510" s="16"/>
    </row>
    <row r="511" spans="33:37" x14ac:dyDescent="0.25">
      <c r="AG511" s="16" t="s">
        <v>2347</v>
      </c>
      <c r="AH511" s="16">
        <v>508</v>
      </c>
      <c r="AJ511" s="16"/>
      <c r="AK511" s="16"/>
    </row>
    <row r="512" spans="33:37" x14ac:dyDescent="0.25">
      <c r="AG512" s="16" t="s">
        <v>2348</v>
      </c>
      <c r="AH512" s="16">
        <v>509</v>
      </c>
      <c r="AJ512" s="16"/>
      <c r="AK512" s="16"/>
    </row>
    <row r="513" spans="33:37" x14ac:dyDescent="0.25">
      <c r="AG513" s="16" t="s">
        <v>2349</v>
      </c>
      <c r="AH513" s="16">
        <v>510</v>
      </c>
      <c r="AJ513" s="16"/>
      <c r="AK513" s="16"/>
    </row>
    <row r="514" spans="33:37" x14ac:dyDescent="0.25">
      <c r="AG514" s="16" t="s">
        <v>2350</v>
      </c>
      <c r="AH514" s="16">
        <v>511</v>
      </c>
      <c r="AJ514" s="16"/>
      <c r="AK514" s="16"/>
    </row>
    <row r="515" spans="33:37" x14ac:dyDescent="0.25">
      <c r="AG515" s="16" t="s">
        <v>2351</v>
      </c>
      <c r="AH515" s="16">
        <v>512</v>
      </c>
      <c r="AJ515" s="16"/>
      <c r="AK515" s="16"/>
    </row>
    <row r="516" spans="33:37" x14ac:dyDescent="0.25">
      <c r="AG516" s="16" t="s">
        <v>2352</v>
      </c>
      <c r="AH516" s="16">
        <v>513</v>
      </c>
      <c r="AJ516" s="16"/>
      <c r="AK516" s="16"/>
    </row>
    <row r="517" spans="33:37" x14ac:dyDescent="0.25">
      <c r="AG517" s="16" t="s">
        <v>1339</v>
      </c>
      <c r="AH517" s="16">
        <v>514</v>
      </c>
      <c r="AJ517" s="16"/>
      <c r="AK517" s="16"/>
    </row>
    <row r="518" spans="33:37" x14ac:dyDescent="0.25">
      <c r="AG518" s="16" t="s">
        <v>2353</v>
      </c>
      <c r="AH518" s="16">
        <v>515</v>
      </c>
      <c r="AJ518" s="16"/>
      <c r="AK518" s="16"/>
    </row>
    <row r="519" spans="33:37" x14ac:dyDescent="0.25">
      <c r="AG519" s="16" t="s">
        <v>2354</v>
      </c>
      <c r="AH519" s="16">
        <v>516</v>
      </c>
      <c r="AJ519" s="16"/>
      <c r="AK519" s="16"/>
    </row>
    <row r="520" spans="33:37" x14ac:dyDescent="0.25">
      <c r="AG520" s="16" t="s">
        <v>2355</v>
      </c>
      <c r="AH520" s="16">
        <v>517</v>
      </c>
      <c r="AJ520" s="16"/>
      <c r="AK520" s="16"/>
    </row>
    <row r="521" spans="33:37" x14ac:dyDescent="0.25">
      <c r="AG521" s="16" t="s">
        <v>2356</v>
      </c>
      <c r="AH521" s="16">
        <v>518</v>
      </c>
      <c r="AJ521" s="16"/>
      <c r="AK521" s="16"/>
    </row>
    <row r="522" spans="33:37" x14ac:dyDescent="0.25">
      <c r="AG522" s="16" t="s">
        <v>2357</v>
      </c>
      <c r="AH522" s="16">
        <v>519</v>
      </c>
      <c r="AJ522" s="16"/>
      <c r="AK522" s="16"/>
    </row>
    <row r="523" spans="33:37" x14ac:dyDescent="0.25">
      <c r="AG523" s="16" t="s">
        <v>2358</v>
      </c>
      <c r="AH523" s="16">
        <v>520</v>
      </c>
      <c r="AJ523" s="16"/>
      <c r="AK523" s="16"/>
    </row>
    <row r="524" spans="33:37" x14ac:dyDescent="0.25">
      <c r="AG524" s="16" t="s">
        <v>1150</v>
      </c>
      <c r="AH524" s="16">
        <v>521</v>
      </c>
      <c r="AJ524" s="16"/>
      <c r="AK524" s="16"/>
    </row>
    <row r="525" spans="33:37" x14ac:dyDescent="0.25">
      <c r="AG525" s="16" t="s">
        <v>842</v>
      </c>
      <c r="AH525" s="16">
        <v>522</v>
      </c>
      <c r="AJ525" s="16"/>
      <c r="AK525" s="16"/>
    </row>
    <row r="526" spans="33:37" x14ac:dyDescent="0.25">
      <c r="AG526" s="16" t="s">
        <v>1084</v>
      </c>
      <c r="AH526" s="16">
        <v>523</v>
      </c>
      <c r="AJ526" s="16"/>
      <c r="AK526" s="16"/>
    </row>
    <row r="527" spans="33:37" x14ac:dyDescent="0.25">
      <c r="AG527" s="16" t="s">
        <v>2359</v>
      </c>
      <c r="AH527" s="16">
        <v>524</v>
      </c>
      <c r="AJ527" s="16"/>
      <c r="AK527" s="16"/>
    </row>
    <row r="528" spans="33:37" x14ac:dyDescent="0.25">
      <c r="AG528" s="16" t="s">
        <v>2360</v>
      </c>
      <c r="AH528" s="16">
        <v>525</v>
      </c>
      <c r="AJ528" s="16"/>
      <c r="AK528" s="16"/>
    </row>
    <row r="529" spans="33:37" x14ac:dyDescent="0.25">
      <c r="AG529" s="16" t="s">
        <v>2361</v>
      </c>
      <c r="AH529" s="16">
        <v>526</v>
      </c>
      <c r="AJ529" s="16"/>
      <c r="AK529" s="16"/>
    </row>
    <row r="530" spans="33:37" x14ac:dyDescent="0.25">
      <c r="AG530" s="16" t="s">
        <v>2362</v>
      </c>
      <c r="AH530" s="16">
        <v>527</v>
      </c>
      <c r="AJ530" s="16"/>
      <c r="AK530" s="16"/>
    </row>
    <row r="531" spans="33:37" x14ac:dyDescent="0.25">
      <c r="AG531" s="16" t="s">
        <v>2363</v>
      </c>
      <c r="AH531" s="16">
        <v>528</v>
      </c>
      <c r="AJ531" s="16"/>
      <c r="AK531" s="16"/>
    </row>
    <row r="532" spans="33:37" x14ac:dyDescent="0.25">
      <c r="AG532" s="16" t="s">
        <v>2364</v>
      </c>
      <c r="AH532" s="16">
        <v>529</v>
      </c>
      <c r="AJ532" s="16"/>
      <c r="AK532" s="16"/>
    </row>
    <row r="533" spans="33:37" x14ac:dyDescent="0.25">
      <c r="AG533" s="16" t="s">
        <v>2365</v>
      </c>
      <c r="AH533" s="16">
        <v>530</v>
      </c>
      <c r="AJ533" s="16"/>
      <c r="AK533" s="16"/>
    </row>
    <row r="534" spans="33:37" x14ac:dyDescent="0.25">
      <c r="AG534" s="16" t="s">
        <v>1451</v>
      </c>
      <c r="AH534" s="16">
        <v>531</v>
      </c>
      <c r="AJ534" s="16"/>
      <c r="AK534" s="16"/>
    </row>
    <row r="535" spans="33:37" x14ac:dyDescent="0.25">
      <c r="AG535" s="16" t="s">
        <v>2366</v>
      </c>
      <c r="AH535" s="16">
        <v>532</v>
      </c>
      <c r="AJ535" s="16"/>
      <c r="AK535" s="16"/>
    </row>
    <row r="536" spans="33:37" x14ac:dyDescent="0.25">
      <c r="AG536" s="16" t="s">
        <v>846</v>
      </c>
      <c r="AH536" s="16">
        <v>533</v>
      </c>
      <c r="AJ536" s="16"/>
      <c r="AK536" s="16"/>
    </row>
    <row r="537" spans="33:37" x14ac:dyDescent="0.25">
      <c r="AG537" s="16" t="s">
        <v>2367</v>
      </c>
      <c r="AH537" s="16">
        <v>534</v>
      </c>
      <c r="AJ537" s="16"/>
      <c r="AK537" s="16"/>
    </row>
    <row r="538" spans="33:37" x14ac:dyDescent="0.25">
      <c r="AG538" s="16" t="s">
        <v>2368</v>
      </c>
      <c r="AH538" s="16">
        <v>535</v>
      </c>
      <c r="AJ538" s="16"/>
      <c r="AK538" s="16"/>
    </row>
    <row r="539" spans="33:37" x14ac:dyDescent="0.25">
      <c r="AG539" s="16" t="s">
        <v>1580</v>
      </c>
      <c r="AH539" s="16">
        <v>536</v>
      </c>
      <c r="AJ539" s="16"/>
      <c r="AK539" s="16"/>
    </row>
    <row r="540" spans="33:37" x14ac:dyDescent="0.25">
      <c r="AG540" s="16" t="s">
        <v>2369</v>
      </c>
      <c r="AH540" s="16">
        <v>537</v>
      </c>
      <c r="AJ540" s="16"/>
      <c r="AK540" s="16"/>
    </row>
    <row r="541" spans="33:37" x14ac:dyDescent="0.25">
      <c r="AG541" s="16" t="s">
        <v>2370</v>
      </c>
      <c r="AH541" s="16">
        <v>538</v>
      </c>
      <c r="AJ541" s="16"/>
      <c r="AK541" s="16"/>
    </row>
    <row r="542" spans="33:37" x14ac:dyDescent="0.25">
      <c r="AG542" s="16" t="s">
        <v>849</v>
      </c>
      <c r="AH542" s="16">
        <v>539</v>
      </c>
      <c r="AJ542" s="16"/>
      <c r="AK542" s="16"/>
    </row>
    <row r="543" spans="33:37" x14ac:dyDescent="0.25">
      <c r="AG543" s="16" t="s">
        <v>1128</v>
      </c>
      <c r="AH543" s="16">
        <v>540</v>
      </c>
      <c r="AJ543" s="16"/>
      <c r="AK543" s="16"/>
    </row>
    <row r="544" spans="33:37" x14ac:dyDescent="0.25">
      <c r="AG544" s="16" t="s">
        <v>2371</v>
      </c>
      <c r="AH544" s="16">
        <v>541</v>
      </c>
      <c r="AJ544" s="16"/>
      <c r="AK544" s="16"/>
    </row>
    <row r="545" spans="33:37" x14ac:dyDescent="0.25">
      <c r="AG545" s="16" t="s">
        <v>2372</v>
      </c>
      <c r="AH545" s="16">
        <v>542</v>
      </c>
      <c r="AJ545" s="16"/>
      <c r="AK545" s="16"/>
    </row>
    <row r="546" spans="33:37" x14ac:dyDescent="0.25">
      <c r="AG546" s="16" t="s">
        <v>2373</v>
      </c>
      <c r="AH546" s="16">
        <v>543</v>
      </c>
      <c r="AJ546" s="16"/>
      <c r="AK546" s="16"/>
    </row>
    <row r="547" spans="33:37" x14ac:dyDescent="0.25">
      <c r="AG547" s="16" t="s">
        <v>2374</v>
      </c>
      <c r="AH547" s="16">
        <v>544</v>
      </c>
      <c r="AJ547" s="16"/>
      <c r="AK547" s="16"/>
    </row>
    <row r="548" spans="33:37" x14ac:dyDescent="0.25">
      <c r="AG548" s="16" t="s">
        <v>2375</v>
      </c>
      <c r="AH548" s="16">
        <v>545</v>
      </c>
      <c r="AJ548" s="16"/>
      <c r="AK548" s="16"/>
    </row>
    <row r="549" spans="33:37" x14ac:dyDescent="0.25">
      <c r="AG549" s="16" t="s">
        <v>2376</v>
      </c>
      <c r="AH549" s="16">
        <v>546</v>
      </c>
      <c r="AJ549" s="16"/>
      <c r="AK549" s="16"/>
    </row>
    <row r="550" spans="33:37" x14ac:dyDescent="0.25">
      <c r="AG550" s="16" t="s">
        <v>2377</v>
      </c>
      <c r="AH550" s="16">
        <v>547</v>
      </c>
      <c r="AJ550" s="16"/>
      <c r="AK550" s="16"/>
    </row>
    <row r="551" spans="33:37" x14ac:dyDescent="0.25">
      <c r="AG551" s="16" t="s">
        <v>2378</v>
      </c>
      <c r="AH551" s="16">
        <v>548</v>
      </c>
      <c r="AJ551" s="16"/>
      <c r="AK551" s="16"/>
    </row>
    <row r="552" spans="33:37" x14ac:dyDescent="0.25">
      <c r="AG552" s="16" t="s">
        <v>2379</v>
      </c>
      <c r="AH552" s="16">
        <v>549</v>
      </c>
      <c r="AJ552" s="16"/>
      <c r="AK552" s="16"/>
    </row>
    <row r="553" spans="33:37" x14ac:dyDescent="0.25">
      <c r="AG553" s="16" t="s">
        <v>2380</v>
      </c>
      <c r="AH553" s="16">
        <v>550</v>
      </c>
      <c r="AJ553" s="16"/>
      <c r="AK553" s="16"/>
    </row>
    <row r="554" spans="33:37" x14ac:dyDescent="0.25">
      <c r="AG554" s="16" t="s">
        <v>2381</v>
      </c>
      <c r="AH554" s="16">
        <v>551</v>
      </c>
      <c r="AJ554" s="16"/>
      <c r="AK554" s="16"/>
    </row>
    <row r="555" spans="33:37" x14ac:dyDescent="0.25">
      <c r="AG555" s="16" t="s">
        <v>1753</v>
      </c>
      <c r="AH555" s="16">
        <v>552</v>
      </c>
      <c r="AJ555" s="16"/>
      <c r="AK555" s="16"/>
    </row>
    <row r="556" spans="33:37" x14ac:dyDescent="0.25">
      <c r="AG556" s="16" t="s">
        <v>2382</v>
      </c>
      <c r="AH556" s="16">
        <v>553</v>
      </c>
      <c r="AJ556" s="16"/>
      <c r="AK556" s="16"/>
    </row>
    <row r="557" spans="33:37" x14ac:dyDescent="0.25">
      <c r="AG557" s="16" t="s">
        <v>2383</v>
      </c>
      <c r="AH557" s="16">
        <v>554</v>
      </c>
      <c r="AJ557" s="16"/>
      <c r="AK557" s="16"/>
    </row>
    <row r="558" spans="33:37" x14ac:dyDescent="0.25">
      <c r="AG558" s="16" t="s">
        <v>2384</v>
      </c>
      <c r="AH558" s="16">
        <v>555</v>
      </c>
      <c r="AJ558" s="16"/>
      <c r="AK558" s="16"/>
    </row>
    <row r="559" spans="33:37" x14ac:dyDescent="0.25">
      <c r="AG559" s="16" t="s">
        <v>2385</v>
      </c>
      <c r="AH559" s="16">
        <v>556</v>
      </c>
      <c r="AJ559" s="16"/>
      <c r="AK559" s="16"/>
    </row>
    <row r="560" spans="33:37" x14ac:dyDescent="0.25">
      <c r="AG560" s="16" t="s">
        <v>2386</v>
      </c>
      <c r="AH560" s="16">
        <v>557</v>
      </c>
      <c r="AJ560" s="16"/>
      <c r="AK560" s="16"/>
    </row>
    <row r="561" spans="33:37" x14ac:dyDescent="0.25">
      <c r="AG561" s="16" t="s">
        <v>1754</v>
      </c>
      <c r="AH561" s="16">
        <v>558</v>
      </c>
      <c r="AJ561" s="16"/>
      <c r="AK561" s="16"/>
    </row>
    <row r="562" spans="33:37" x14ac:dyDescent="0.25">
      <c r="AG562" s="16" t="s">
        <v>2387</v>
      </c>
      <c r="AH562" s="16">
        <v>559</v>
      </c>
      <c r="AJ562" s="16"/>
      <c r="AK562" s="16"/>
    </row>
    <row r="563" spans="33:37" x14ac:dyDescent="0.25">
      <c r="AG563" s="16" t="s">
        <v>2388</v>
      </c>
      <c r="AH563" s="16">
        <v>560</v>
      </c>
      <c r="AJ563" s="16"/>
      <c r="AK563" s="16"/>
    </row>
    <row r="564" spans="33:37" x14ac:dyDescent="0.25">
      <c r="AG564" s="16" t="s">
        <v>2389</v>
      </c>
      <c r="AH564" s="16">
        <v>561</v>
      </c>
      <c r="AJ564" s="16"/>
      <c r="AK564" s="16"/>
    </row>
    <row r="565" spans="33:37" x14ac:dyDescent="0.25">
      <c r="AG565" s="16" t="s">
        <v>2390</v>
      </c>
      <c r="AH565" s="16">
        <v>562</v>
      </c>
      <c r="AJ565" s="16"/>
      <c r="AK565" s="16"/>
    </row>
    <row r="566" spans="33:37" x14ac:dyDescent="0.25">
      <c r="AG566" s="16" t="s">
        <v>2391</v>
      </c>
      <c r="AH566" s="16">
        <v>563</v>
      </c>
      <c r="AJ566" s="16"/>
      <c r="AK566" s="16"/>
    </row>
    <row r="567" spans="33:37" x14ac:dyDescent="0.25">
      <c r="AG567" s="16" t="s">
        <v>2392</v>
      </c>
      <c r="AH567" s="16">
        <v>564</v>
      </c>
      <c r="AJ567" s="16"/>
      <c r="AK567" s="16"/>
    </row>
    <row r="568" spans="33:37" x14ac:dyDescent="0.25">
      <c r="AG568" s="16" t="s">
        <v>2393</v>
      </c>
      <c r="AH568" s="16">
        <v>565</v>
      </c>
      <c r="AJ568" s="16"/>
      <c r="AK568" s="16"/>
    </row>
    <row r="569" spans="33:37" x14ac:dyDescent="0.25">
      <c r="AG569" s="16" t="s">
        <v>2394</v>
      </c>
      <c r="AH569" s="16">
        <v>566</v>
      </c>
      <c r="AJ569" s="16"/>
      <c r="AK569" s="16"/>
    </row>
    <row r="570" spans="33:37" x14ac:dyDescent="0.25">
      <c r="AG570" s="16" t="s">
        <v>2395</v>
      </c>
      <c r="AH570" s="16">
        <v>567</v>
      </c>
      <c r="AJ570" s="16"/>
      <c r="AK570" s="16"/>
    </row>
    <row r="571" spans="33:37" x14ac:dyDescent="0.25">
      <c r="AG571" s="16" t="s">
        <v>2396</v>
      </c>
      <c r="AH571" s="16">
        <v>568</v>
      </c>
      <c r="AJ571" s="16"/>
      <c r="AK571" s="16"/>
    </row>
    <row r="572" spans="33:37" x14ac:dyDescent="0.25">
      <c r="AG572" s="16" t="s">
        <v>2397</v>
      </c>
      <c r="AH572" s="16">
        <v>569</v>
      </c>
      <c r="AJ572" s="16"/>
      <c r="AK572" s="16"/>
    </row>
    <row r="573" spans="33:37" x14ac:dyDescent="0.25">
      <c r="AG573" s="16" t="s">
        <v>2398</v>
      </c>
      <c r="AH573" s="16">
        <v>570</v>
      </c>
      <c r="AJ573" s="16"/>
      <c r="AK573" s="16"/>
    </row>
    <row r="574" spans="33:37" x14ac:dyDescent="0.25">
      <c r="AG574" s="16" t="s">
        <v>2399</v>
      </c>
      <c r="AH574" s="16">
        <v>571</v>
      </c>
      <c r="AJ574" s="16"/>
      <c r="AK574" s="16"/>
    </row>
    <row r="575" spans="33:37" x14ac:dyDescent="0.25">
      <c r="AG575" s="16" t="s">
        <v>2400</v>
      </c>
      <c r="AH575" s="16">
        <v>572</v>
      </c>
      <c r="AJ575" s="16"/>
      <c r="AK575" s="16"/>
    </row>
    <row r="576" spans="33:37" x14ac:dyDescent="0.25">
      <c r="AG576" s="16" t="s">
        <v>2401</v>
      </c>
      <c r="AH576" s="16">
        <v>573</v>
      </c>
      <c r="AJ576" s="16"/>
      <c r="AK576" s="16"/>
    </row>
    <row r="577" spans="33:37" x14ac:dyDescent="0.25">
      <c r="AG577" s="16" t="s">
        <v>2402</v>
      </c>
      <c r="AH577" s="16">
        <v>574</v>
      </c>
      <c r="AJ577" s="16"/>
      <c r="AK577" s="16"/>
    </row>
    <row r="578" spans="33:37" x14ac:dyDescent="0.25">
      <c r="AG578" s="16" t="s">
        <v>2403</v>
      </c>
      <c r="AH578" s="16">
        <v>575</v>
      </c>
      <c r="AJ578" s="16"/>
      <c r="AK578" s="16"/>
    </row>
    <row r="579" spans="33:37" x14ac:dyDescent="0.25">
      <c r="AG579" s="16" t="s">
        <v>2404</v>
      </c>
      <c r="AH579" s="16">
        <v>576</v>
      </c>
      <c r="AJ579" s="16"/>
      <c r="AK579" s="16"/>
    </row>
    <row r="580" spans="33:37" x14ac:dyDescent="0.25">
      <c r="AG580" s="16" t="s">
        <v>2405</v>
      </c>
      <c r="AH580" s="16">
        <v>577</v>
      </c>
      <c r="AJ580" s="16"/>
      <c r="AK580" s="16"/>
    </row>
    <row r="581" spans="33:37" x14ac:dyDescent="0.25">
      <c r="AG581" s="16" t="s">
        <v>2406</v>
      </c>
      <c r="AH581" s="16">
        <v>578</v>
      </c>
      <c r="AJ581" s="16"/>
      <c r="AK581" s="16"/>
    </row>
    <row r="582" spans="33:37" x14ac:dyDescent="0.25">
      <c r="AG582" s="16" t="s">
        <v>2407</v>
      </c>
      <c r="AH582" s="16">
        <v>579</v>
      </c>
      <c r="AJ582" s="16"/>
      <c r="AK582" s="16"/>
    </row>
    <row r="583" spans="33:37" x14ac:dyDescent="0.25">
      <c r="AG583" s="16" t="s">
        <v>2408</v>
      </c>
      <c r="AH583" s="16">
        <v>580</v>
      </c>
      <c r="AJ583" s="16"/>
      <c r="AK583" s="16"/>
    </row>
    <row r="584" spans="33:37" x14ac:dyDescent="0.25">
      <c r="AG584" s="16" t="s">
        <v>2409</v>
      </c>
      <c r="AH584" s="16">
        <v>581</v>
      </c>
      <c r="AJ584" s="16"/>
      <c r="AK584" s="16"/>
    </row>
    <row r="585" spans="33:37" x14ac:dyDescent="0.25">
      <c r="AG585" s="16" t="s">
        <v>2410</v>
      </c>
      <c r="AH585" s="16">
        <v>582</v>
      </c>
      <c r="AJ585" s="16"/>
      <c r="AK585" s="16"/>
    </row>
    <row r="586" spans="33:37" x14ac:dyDescent="0.25">
      <c r="AG586" s="16" t="s">
        <v>2411</v>
      </c>
      <c r="AH586" s="16">
        <v>583</v>
      </c>
      <c r="AJ586" s="16"/>
      <c r="AK586" s="16"/>
    </row>
    <row r="587" spans="33:37" x14ac:dyDescent="0.25">
      <c r="AG587" s="16" t="s">
        <v>2412</v>
      </c>
      <c r="AH587" s="16">
        <v>584</v>
      </c>
      <c r="AJ587" s="16"/>
      <c r="AK587" s="16"/>
    </row>
    <row r="588" spans="33:37" x14ac:dyDescent="0.25">
      <c r="AG588" s="16" t="s">
        <v>2413</v>
      </c>
      <c r="AH588" s="16">
        <v>585</v>
      </c>
      <c r="AJ588" s="16"/>
      <c r="AK588" s="16"/>
    </row>
    <row r="589" spans="33:37" x14ac:dyDescent="0.25">
      <c r="AG589" s="16" t="s">
        <v>2414</v>
      </c>
      <c r="AH589" s="16">
        <v>586</v>
      </c>
      <c r="AJ589" s="16"/>
      <c r="AK589" s="16"/>
    </row>
    <row r="590" spans="33:37" x14ac:dyDescent="0.25">
      <c r="AG590" s="16" t="s">
        <v>2415</v>
      </c>
      <c r="AH590" s="16">
        <v>587</v>
      </c>
      <c r="AJ590" s="16"/>
      <c r="AK590" s="16"/>
    </row>
    <row r="591" spans="33:37" x14ac:dyDescent="0.25">
      <c r="AG591" s="16" t="s">
        <v>2416</v>
      </c>
      <c r="AH591" s="16">
        <v>588</v>
      </c>
      <c r="AJ591" s="16"/>
      <c r="AK591" s="16"/>
    </row>
    <row r="592" spans="33:37" x14ac:dyDescent="0.25">
      <c r="AG592" s="16" t="s">
        <v>1135</v>
      </c>
      <c r="AH592" s="16">
        <v>589</v>
      </c>
      <c r="AJ592" s="16"/>
      <c r="AK592" s="16"/>
    </row>
    <row r="593" spans="33:37" x14ac:dyDescent="0.25">
      <c r="AG593" s="16" t="s">
        <v>2417</v>
      </c>
      <c r="AH593" s="16">
        <v>590</v>
      </c>
      <c r="AJ593" s="16"/>
      <c r="AK593" s="16"/>
    </row>
    <row r="594" spans="33:37" x14ac:dyDescent="0.25">
      <c r="AG594" s="16" t="s">
        <v>2418</v>
      </c>
      <c r="AH594" s="16">
        <v>591</v>
      </c>
      <c r="AJ594" s="16"/>
      <c r="AK594" s="16"/>
    </row>
    <row r="595" spans="33:37" x14ac:dyDescent="0.25">
      <c r="AG595" s="16" t="s">
        <v>2419</v>
      </c>
      <c r="AH595" s="16">
        <v>592</v>
      </c>
      <c r="AJ595" s="16"/>
      <c r="AK595" s="16"/>
    </row>
    <row r="596" spans="33:37" x14ac:dyDescent="0.25">
      <c r="AG596" s="16" t="s">
        <v>2420</v>
      </c>
      <c r="AH596" s="16">
        <v>593</v>
      </c>
      <c r="AJ596" s="16"/>
      <c r="AK596" s="16"/>
    </row>
    <row r="597" spans="33:37" x14ac:dyDescent="0.25">
      <c r="AG597" s="16" t="s">
        <v>2421</v>
      </c>
      <c r="AH597" s="16">
        <v>594</v>
      </c>
      <c r="AJ597" s="16"/>
      <c r="AK597" s="16"/>
    </row>
    <row r="598" spans="33:37" x14ac:dyDescent="0.25">
      <c r="AG598" s="16" t="s">
        <v>2422</v>
      </c>
      <c r="AH598" s="16">
        <v>595</v>
      </c>
      <c r="AJ598" s="16"/>
      <c r="AK598" s="16"/>
    </row>
    <row r="599" spans="33:37" x14ac:dyDescent="0.25">
      <c r="AG599" s="16" t="s">
        <v>1136</v>
      </c>
      <c r="AH599" s="16">
        <v>596</v>
      </c>
      <c r="AJ599" s="16"/>
      <c r="AK599" s="16"/>
    </row>
    <row r="600" spans="33:37" x14ac:dyDescent="0.25">
      <c r="AG600" s="16" t="s">
        <v>2423</v>
      </c>
      <c r="AH600" s="16">
        <v>597</v>
      </c>
      <c r="AJ600" s="16"/>
      <c r="AK600" s="16"/>
    </row>
    <row r="601" spans="33:37" x14ac:dyDescent="0.25">
      <c r="AG601" s="16" t="s">
        <v>2424</v>
      </c>
      <c r="AH601" s="16">
        <v>598</v>
      </c>
      <c r="AJ601" s="16"/>
      <c r="AK601" s="16"/>
    </row>
    <row r="602" spans="33:37" x14ac:dyDescent="0.25">
      <c r="AG602" s="16" t="s">
        <v>2425</v>
      </c>
      <c r="AH602" s="16">
        <v>599</v>
      </c>
      <c r="AJ602" s="16"/>
      <c r="AK602" s="16"/>
    </row>
    <row r="603" spans="33:37" x14ac:dyDescent="0.25">
      <c r="AG603" s="16" t="s">
        <v>2426</v>
      </c>
      <c r="AH603" s="16">
        <v>600</v>
      </c>
      <c r="AJ603" s="16"/>
      <c r="AK603" s="16"/>
    </row>
    <row r="604" spans="33:37" x14ac:dyDescent="0.25">
      <c r="AG604" s="16" t="s">
        <v>2427</v>
      </c>
      <c r="AH604" s="16">
        <v>601</v>
      </c>
      <c r="AJ604" s="16"/>
      <c r="AK604" s="16"/>
    </row>
    <row r="605" spans="33:37" x14ac:dyDescent="0.25">
      <c r="AG605" s="16" t="s">
        <v>2428</v>
      </c>
      <c r="AH605" s="16">
        <v>602</v>
      </c>
      <c r="AJ605" s="16"/>
      <c r="AK605" s="16"/>
    </row>
    <row r="606" spans="33:37" x14ac:dyDescent="0.25">
      <c r="AG606" s="16" t="s">
        <v>2429</v>
      </c>
      <c r="AH606" s="16">
        <v>603</v>
      </c>
      <c r="AJ606" s="16"/>
      <c r="AK606" s="16"/>
    </row>
    <row r="607" spans="33:37" x14ac:dyDescent="0.25">
      <c r="AG607" s="16" t="s">
        <v>2430</v>
      </c>
      <c r="AH607" s="16">
        <v>604</v>
      </c>
      <c r="AJ607" s="16"/>
      <c r="AK607" s="16"/>
    </row>
    <row r="608" spans="33:37" x14ac:dyDescent="0.25">
      <c r="AG608" s="16" t="s">
        <v>1458</v>
      </c>
      <c r="AH608" s="16">
        <v>605</v>
      </c>
      <c r="AJ608" s="16"/>
      <c r="AK608" s="16"/>
    </row>
    <row r="609" spans="33:37" x14ac:dyDescent="0.25">
      <c r="AG609" s="16" t="s">
        <v>2431</v>
      </c>
      <c r="AH609" s="16">
        <v>606</v>
      </c>
      <c r="AJ609" s="16"/>
      <c r="AK609" s="16"/>
    </row>
    <row r="610" spans="33:37" x14ac:dyDescent="0.25">
      <c r="AG610" s="16" t="s">
        <v>2432</v>
      </c>
      <c r="AH610" s="16">
        <v>607</v>
      </c>
      <c r="AJ610" s="16"/>
      <c r="AK610" s="16"/>
    </row>
    <row r="611" spans="33:37" x14ac:dyDescent="0.25">
      <c r="AG611" s="16" t="s">
        <v>2433</v>
      </c>
      <c r="AH611" s="16">
        <v>608</v>
      </c>
      <c r="AJ611" s="16"/>
      <c r="AK611" s="16"/>
    </row>
    <row r="612" spans="33:37" x14ac:dyDescent="0.25">
      <c r="AG612" s="16" t="s">
        <v>2434</v>
      </c>
      <c r="AH612" s="16">
        <v>609</v>
      </c>
      <c r="AJ612" s="16"/>
      <c r="AK612" s="16"/>
    </row>
    <row r="613" spans="33:37" x14ac:dyDescent="0.25">
      <c r="AG613" s="16" t="s">
        <v>867</v>
      </c>
      <c r="AH613" s="16">
        <v>610</v>
      </c>
      <c r="AJ613" s="16"/>
      <c r="AK613" s="16"/>
    </row>
    <row r="614" spans="33:37" x14ac:dyDescent="0.25">
      <c r="AG614" s="16" t="s">
        <v>2435</v>
      </c>
      <c r="AH614" s="16">
        <v>611</v>
      </c>
      <c r="AJ614" s="16"/>
      <c r="AK614" s="16"/>
    </row>
    <row r="615" spans="33:37" x14ac:dyDescent="0.25">
      <c r="AG615" s="16" t="s">
        <v>2436</v>
      </c>
      <c r="AH615" s="16">
        <v>612</v>
      </c>
      <c r="AJ615" s="16"/>
      <c r="AK615" s="16"/>
    </row>
    <row r="616" spans="33:37" x14ac:dyDescent="0.25">
      <c r="AG616" s="16" t="s">
        <v>2437</v>
      </c>
      <c r="AH616" s="16">
        <v>613</v>
      </c>
      <c r="AJ616" s="16"/>
      <c r="AK616" s="16"/>
    </row>
    <row r="617" spans="33:37" x14ac:dyDescent="0.25">
      <c r="AG617" s="16" t="s">
        <v>2438</v>
      </c>
      <c r="AH617" s="16">
        <v>614</v>
      </c>
      <c r="AJ617" s="16"/>
      <c r="AK617" s="16"/>
    </row>
    <row r="618" spans="33:37" x14ac:dyDescent="0.25">
      <c r="AG618" s="16" t="s">
        <v>2439</v>
      </c>
      <c r="AH618" s="16">
        <v>615</v>
      </c>
      <c r="AJ618" s="16"/>
      <c r="AK618" s="16"/>
    </row>
    <row r="619" spans="33:37" x14ac:dyDescent="0.25">
      <c r="AG619" s="16" t="s">
        <v>2440</v>
      </c>
      <c r="AH619" s="16">
        <v>616</v>
      </c>
      <c r="AJ619" s="16"/>
      <c r="AK619" s="16"/>
    </row>
    <row r="620" spans="33:37" x14ac:dyDescent="0.25">
      <c r="AG620" s="16" t="s">
        <v>2441</v>
      </c>
      <c r="AH620" s="16">
        <v>617</v>
      </c>
      <c r="AJ620" s="16"/>
      <c r="AK620" s="16"/>
    </row>
    <row r="621" spans="33:37" x14ac:dyDescent="0.25">
      <c r="AG621" s="16" t="s">
        <v>2442</v>
      </c>
      <c r="AH621" s="16">
        <v>618</v>
      </c>
      <c r="AJ621" s="16"/>
      <c r="AK621" s="16"/>
    </row>
    <row r="622" spans="33:37" x14ac:dyDescent="0.25">
      <c r="AG622" s="16" t="s">
        <v>2443</v>
      </c>
      <c r="AH622" s="16">
        <v>619</v>
      </c>
      <c r="AJ622" s="16"/>
      <c r="AK622" s="16"/>
    </row>
    <row r="623" spans="33:37" x14ac:dyDescent="0.25">
      <c r="AG623" s="16" t="s">
        <v>2444</v>
      </c>
      <c r="AH623" s="16">
        <v>620</v>
      </c>
      <c r="AJ623" s="16"/>
      <c r="AK623" s="16"/>
    </row>
    <row r="624" spans="33:37" x14ac:dyDescent="0.25">
      <c r="AG624" s="16" t="s">
        <v>2445</v>
      </c>
      <c r="AH624" s="16">
        <v>621</v>
      </c>
      <c r="AJ624" s="16"/>
      <c r="AK624" s="16"/>
    </row>
    <row r="625" spans="33:37" x14ac:dyDescent="0.25">
      <c r="AG625" s="16" t="s">
        <v>2446</v>
      </c>
      <c r="AH625" s="16">
        <v>622</v>
      </c>
      <c r="AJ625" s="16"/>
      <c r="AK625" s="16"/>
    </row>
    <row r="626" spans="33:37" x14ac:dyDescent="0.25">
      <c r="AG626" s="16" t="s">
        <v>2447</v>
      </c>
      <c r="AH626" s="16">
        <v>623</v>
      </c>
      <c r="AJ626" s="16"/>
      <c r="AK626" s="16"/>
    </row>
    <row r="627" spans="33:37" x14ac:dyDescent="0.25">
      <c r="AG627" s="16" t="s">
        <v>2448</v>
      </c>
      <c r="AH627" s="16">
        <v>624</v>
      </c>
      <c r="AJ627" s="16"/>
      <c r="AK627" s="16"/>
    </row>
    <row r="628" spans="33:37" x14ac:dyDescent="0.25">
      <c r="AG628" s="16" t="s">
        <v>2449</v>
      </c>
      <c r="AH628" s="16">
        <v>625</v>
      </c>
      <c r="AJ628" s="16"/>
      <c r="AK628" s="16"/>
    </row>
    <row r="629" spans="33:37" x14ac:dyDescent="0.25">
      <c r="AG629" s="16" t="s">
        <v>2450</v>
      </c>
      <c r="AH629" s="16">
        <v>626</v>
      </c>
      <c r="AJ629" s="16"/>
      <c r="AK629" s="16"/>
    </row>
    <row r="630" spans="33:37" x14ac:dyDescent="0.25">
      <c r="AG630" s="16" t="s">
        <v>2451</v>
      </c>
      <c r="AH630" s="16">
        <v>627</v>
      </c>
      <c r="AJ630" s="16"/>
      <c r="AK630" s="16"/>
    </row>
    <row r="631" spans="33:37" x14ac:dyDescent="0.25">
      <c r="AG631" s="16" t="s">
        <v>2452</v>
      </c>
      <c r="AH631" s="16">
        <v>628</v>
      </c>
      <c r="AJ631" s="16"/>
      <c r="AK631" s="16"/>
    </row>
    <row r="632" spans="33:37" x14ac:dyDescent="0.25">
      <c r="AG632" s="16" t="s">
        <v>2453</v>
      </c>
      <c r="AH632" s="16">
        <v>629</v>
      </c>
      <c r="AJ632" s="16"/>
      <c r="AK632" s="16"/>
    </row>
    <row r="633" spans="33:37" x14ac:dyDescent="0.25">
      <c r="AG633" s="16" t="s">
        <v>2454</v>
      </c>
      <c r="AH633" s="16">
        <v>630</v>
      </c>
      <c r="AJ633" s="16"/>
      <c r="AK633" s="16"/>
    </row>
    <row r="634" spans="33:37" x14ac:dyDescent="0.25">
      <c r="AG634" s="16" t="s">
        <v>2455</v>
      </c>
      <c r="AH634" s="16">
        <v>631</v>
      </c>
      <c r="AJ634" s="16"/>
      <c r="AK634" s="16"/>
    </row>
    <row r="635" spans="33:37" x14ac:dyDescent="0.25">
      <c r="AG635" s="16" t="s">
        <v>2456</v>
      </c>
      <c r="AH635" s="16">
        <v>632</v>
      </c>
      <c r="AJ635" s="16"/>
      <c r="AK635" s="16"/>
    </row>
    <row r="636" spans="33:37" x14ac:dyDescent="0.25">
      <c r="AG636" s="16" t="s">
        <v>2457</v>
      </c>
      <c r="AH636" s="16">
        <v>633</v>
      </c>
      <c r="AJ636" s="16"/>
      <c r="AK636" s="16"/>
    </row>
    <row r="637" spans="33:37" x14ac:dyDescent="0.25">
      <c r="AG637" s="16" t="s">
        <v>2458</v>
      </c>
      <c r="AH637" s="16">
        <v>634</v>
      </c>
      <c r="AJ637" s="16"/>
      <c r="AK637" s="16"/>
    </row>
    <row r="638" spans="33:37" x14ac:dyDescent="0.25">
      <c r="AG638" s="16" t="s">
        <v>2459</v>
      </c>
      <c r="AH638" s="16">
        <v>635</v>
      </c>
      <c r="AJ638" s="16"/>
      <c r="AK638" s="16"/>
    </row>
    <row r="639" spans="33:37" x14ac:dyDescent="0.25">
      <c r="AG639" s="16" t="s">
        <v>2460</v>
      </c>
      <c r="AH639" s="16">
        <v>636</v>
      </c>
      <c r="AJ639" s="16"/>
      <c r="AK639" s="16"/>
    </row>
    <row r="640" spans="33:37" x14ac:dyDescent="0.25">
      <c r="AG640" s="16" t="s">
        <v>2461</v>
      </c>
      <c r="AH640" s="16">
        <v>637</v>
      </c>
      <c r="AJ640" s="16"/>
      <c r="AK640" s="16"/>
    </row>
    <row r="641" spans="33:37" x14ac:dyDescent="0.25">
      <c r="AG641" s="16" t="s">
        <v>2462</v>
      </c>
      <c r="AH641" s="16">
        <v>638</v>
      </c>
      <c r="AJ641" s="16"/>
      <c r="AK641" s="16"/>
    </row>
    <row r="642" spans="33:37" x14ac:dyDescent="0.25">
      <c r="AG642" s="16" t="s">
        <v>2463</v>
      </c>
      <c r="AH642" s="16">
        <v>639</v>
      </c>
      <c r="AJ642" s="16"/>
      <c r="AK642" s="16"/>
    </row>
    <row r="643" spans="33:37" x14ac:dyDescent="0.25">
      <c r="AG643" s="16" t="s">
        <v>2464</v>
      </c>
      <c r="AH643" s="16">
        <v>640</v>
      </c>
      <c r="AJ643" s="16"/>
      <c r="AK643" s="16"/>
    </row>
    <row r="644" spans="33:37" x14ac:dyDescent="0.25">
      <c r="AG644" s="16" t="s">
        <v>2465</v>
      </c>
      <c r="AH644" s="16">
        <v>641</v>
      </c>
      <c r="AJ644" s="16"/>
      <c r="AK644" s="16"/>
    </row>
    <row r="645" spans="33:37" x14ac:dyDescent="0.25">
      <c r="AG645" s="16" t="s">
        <v>876</v>
      </c>
      <c r="AH645" s="16">
        <v>642</v>
      </c>
      <c r="AJ645" s="16"/>
      <c r="AK645" s="16"/>
    </row>
    <row r="646" spans="33:37" x14ac:dyDescent="0.25">
      <c r="AG646" s="16" t="s">
        <v>2466</v>
      </c>
      <c r="AH646" s="16">
        <v>643</v>
      </c>
      <c r="AJ646" s="16"/>
      <c r="AK646" s="16"/>
    </row>
    <row r="647" spans="33:37" x14ac:dyDescent="0.25">
      <c r="AG647" s="16" t="s">
        <v>2467</v>
      </c>
      <c r="AH647" s="16">
        <v>644</v>
      </c>
    </row>
  </sheetData>
  <sortState ref="A24:AK24">
    <sortCondition ref="AC2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38</vt:i4>
      </vt:variant>
    </vt:vector>
  </HeadingPairs>
  <TitlesOfParts>
    <vt:vector size="45" baseType="lpstr">
      <vt:lpstr>NUEVOS 2019 </vt:lpstr>
      <vt:lpstr>Hoja2</vt:lpstr>
      <vt:lpstr>ANEXO 6A 2019- I</vt:lpstr>
      <vt:lpstr>ANEXO 6A 2019- II</vt:lpstr>
      <vt:lpstr>COD DANES</vt:lpstr>
      <vt:lpstr>cod mun</vt:lpstr>
      <vt:lpstr>Hoja3</vt:lpstr>
      <vt:lpstr>AMAZONAS</vt:lpstr>
      <vt:lpstr>ANTIOQUIA</vt:lpstr>
      <vt:lpstr>ARAUCA</vt:lpstr>
      <vt:lpstr>'ANEXO 6A 2019- I'!Área_de_impresión</vt:lpstr>
      <vt:lpstr>'ANEXO 6A 2019- II'!Área_de_impresión</vt:lpstr>
      <vt:lpstr>'NUEVOS 2019 '!Área_de_impresión</vt:lpstr>
      <vt:lpstr>ATLANTICO</vt:lpstr>
      <vt:lpstr>BOGOTA</vt:lpstr>
      <vt:lpstr>BOLIVAR</vt:lpstr>
      <vt:lpstr>BOYACA</vt:lpstr>
      <vt:lpstr>CALDAS</vt:lpstr>
      <vt:lpstr>CAQUETA</vt:lpstr>
      <vt:lpstr>CASANARE</vt:lpstr>
      <vt:lpstr>CAUCA</vt:lpstr>
      <vt:lpstr>CESAR</vt:lpstr>
      <vt:lpstr>CHOCO</vt:lpstr>
      <vt:lpstr>CORDOBA</vt:lpstr>
      <vt:lpstr>CUNDINAMARCA</vt:lpstr>
      <vt:lpstr>Departamento</vt:lpstr>
      <vt:lpstr>GUAINIA</vt:lpstr>
      <vt:lpstr>GUAVIARE</vt:lpstr>
      <vt:lpstr>HUILA</vt:lpstr>
      <vt:lpstr>LA_GUAJIRA</vt:lpstr>
      <vt:lpstr>MAGDALENA</vt:lpstr>
      <vt:lpstr>META</vt:lpstr>
      <vt:lpstr>NARIÑO</vt:lpstr>
      <vt:lpstr>NORTE_DE_SANTANDER</vt:lpstr>
      <vt:lpstr>PUTUMAYO</vt:lpstr>
      <vt:lpstr>QUINDIO</vt:lpstr>
      <vt:lpstr>RISARALDA</vt:lpstr>
      <vt:lpstr>SAN_ANDRES</vt:lpstr>
      <vt:lpstr>SANTANDER</vt:lpstr>
      <vt:lpstr>sedes</vt:lpstr>
      <vt:lpstr>SUCRE</vt:lpstr>
      <vt:lpstr>TOLIMA</vt:lpstr>
      <vt:lpstr>VALLE_DEL_CAUCA</vt:lpstr>
      <vt:lpstr>VAUPES</vt:lpstr>
      <vt:lpstr>VICHADA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window7</dc:creator>
  <cp:lastModifiedBy>window7</cp:lastModifiedBy>
  <cp:lastPrinted>2018-10-17T14:48:04Z</cp:lastPrinted>
  <dcterms:created xsi:type="dcterms:W3CDTF">2018-09-13T14:38:13Z</dcterms:created>
  <dcterms:modified xsi:type="dcterms:W3CDTF">2018-10-17T20:31:18Z</dcterms:modified>
</cp:coreProperties>
</file>